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u7bb\Desktop\TCHS 2024\"/>
    </mc:Choice>
  </mc:AlternateContent>
  <xr:revisionPtr revIDLastSave="0" documentId="13_ncr:1_{1946C7FB-0D18-4D99-AD82-E3A440055529}" xr6:coauthVersionLast="47" xr6:coauthVersionMax="47" xr10:uidLastSave="{00000000-0000-0000-0000-000000000000}"/>
  <bookViews>
    <workbookView xWindow="-110" yWindow="-110" windowWidth="19420" windowHeight="11620" tabRatio="843" xr2:uid="{00000000-000D-0000-FFFF-FFFF00000000}"/>
  </bookViews>
  <sheets>
    <sheet name="Menu principal" sheetId="8" r:id="rId1"/>
    <sheet name="Insérer_nouvel_adhérent" sheetId="6" r:id="rId2"/>
    <sheet name="Recherche Adhérent" sheetId="9" r:id="rId3"/>
    <sheet name="Situation paiement" sheetId="10" r:id="rId4"/>
    <sheet name="Modifier_adhérent" sheetId="11" state="hidden" r:id="rId5"/>
    <sheet name="Saisir un bon de recette" sheetId="15" r:id="rId6"/>
    <sheet name="Rentabilité _groupe" sheetId="16" state="hidden" r:id="rId7"/>
    <sheet name="Liste gobale" sheetId="1" r:id="rId8"/>
    <sheet name="Liste carnet encaiss" sheetId="12" r:id="rId9"/>
    <sheet name="Liste validation (2)" sheetId="13" r:id="rId10"/>
    <sheet name="A contacter" sheetId="2" state="hidden" r:id="rId11"/>
    <sheet name="Groupes" sheetId="3" state="hidden" r:id="rId12"/>
    <sheet name="Entraineurs" sheetId="4" state="hidden" r:id="rId13"/>
    <sheet name="Feuil3" sheetId="5" state="hidden" r:id="rId14"/>
    <sheet name="Situation paiement Ecole d'été" sheetId="18" r:id="rId15"/>
    <sheet name="Liste validation" sheetId="7" r:id="rId16"/>
  </sheets>
  <definedNames>
    <definedName name="_xlnm._FilterDatabase" localSheetId="8" hidden="1">'Liste carnet encaiss'!$A$1:$M$6</definedName>
    <definedName name="_xlnm._FilterDatabase" localSheetId="7" hidden="1">'Liste gobale'!$A$1:$W$6</definedName>
    <definedName name="_xlnm._FilterDatabase" localSheetId="2" hidden="1">'Recherche Adhérent'!$N$9:$P$10</definedName>
    <definedName name="_xlnm._FilterDatabase" localSheetId="6" hidden="1">'Rentabilité _groupe'!$O$3:$Q$67</definedName>
    <definedName name="_xlnm._FilterDatabase" localSheetId="3" hidden="1">'Situation paiement'!$S$10:$U$11</definedName>
    <definedName name="Condition" localSheetId="4">Modifier_adhérent!$N$5</definedName>
    <definedName name="Condition" localSheetId="5">'Saisir un bon de recette'!$O$5</definedName>
    <definedName name="Condition">Insérer_nouvel_adhérent!$N$5</definedName>
    <definedName name="Cotisation" localSheetId="4">Modifier_adhérent!$H$13</definedName>
    <definedName name="Cotisation" localSheetId="5">'Saisir un bon de recette'!$H$19</definedName>
    <definedName name="Cotisation">Insérer_nouvel_adhérent!$H$13</definedName>
    <definedName name="_xlnm.Criteria" localSheetId="2">'Recherche Adhérent'!$N$9:$N$10</definedName>
    <definedName name="_xlnm.Criteria" localSheetId="3">'Situation paiement'!$V$9:$V$10</definedName>
    <definedName name="Entraineur" localSheetId="4">Modifier_adhérent!$H$11</definedName>
    <definedName name="Entraineur" localSheetId="5">'Saisir un bon de recette'!$H$17</definedName>
    <definedName name="Entraineur">Insérer_nouvel_adhérent!$H$11</definedName>
    <definedName name="_xlnm.Extract" localSheetId="2">'Recherche Adhérent'!$M$15:$AC$15</definedName>
    <definedName name="_xlnm.Extract" localSheetId="3">'Situation paiement'!$R$19:$AC$19</definedName>
    <definedName name="Groupe" localSheetId="4">Modifier_adhérent!$H$9</definedName>
    <definedName name="Groupe" localSheetId="5">'Saisir un bon de recette'!$H$15</definedName>
    <definedName name="Groupe">Insérer_nouvel_adhérent!$H$9</definedName>
    <definedName name="_xlnm.Print_Titles" localSheetId="14">'Situation paiement Ecole d''été'!$4:$4</definedName>
    <definedName name="Matricule">Modifier_adhérent!$D$7</definedName>
    <definedName name="Naissance" localSheetId="4">Modifier_adhérent!$D$13</definedName>
    <definedName name="Naissance" localSheetId="5">'Saisir un bon de recette'!$D$17</definedName>
    <definedName name="Naissance">Insérer_nouvel_adhérent!$D$13</definedName>
    <definedName name="Nom" localSheetId="4">Modifier_adhérent!$D$11</definedName>
    <definedName name="Nom" localSheetId="5">'Saisir un bon de recette'!$D$15</definedName>
    <definedName name="Nom">Insérer_nouvel_adhérent!$D$11</definedName>
    <definedName name="Prénom" localSheetId="4">Modifier_adhérent!$D$9</definedName>
    <definedName name="Prénom" localSheetId="5">'Saisir un bon de recette'!$D$13</definedName>
    <definedName name="Prénom">Insérer_nouvel_adhérent!$D$9</definedName>
    <definedName name="Sex" localSheetId="4">Modifier_adhérent!$D$15</definedName>
    <definedName name="Sex" localSheetId="5">'Saisir un bon de recette'!$D$19</definedName>
    <definedName name="Sex">Insérer_nouvel_adhérent!$D$15</definedName>
    <definedName name="Sexe" localSheetId="4">Tableau2[[#All],[Sexe]]</definedName>
    <definedName name="Sexe" localSheetId="2">Tableau2[[#All],[Sexe]]</definedName>
    <definedName name="Sexe" localSheetId="5">Tableau2[[#All],[Sexe]]</definedName>
    <definedName name="Sexe" localSheetId="3">Tableau2[[#All],[Sexe]]</definedName>
    <definedName name="Sexe">Tableau2[[#All],[Sexe]]</definedName>
    <definedName name="Sexe2" localSheetId="5">Tableau2[[#All],[Sexe]]</definedName>
    <definedName name="Sexe2">Tableau2[[#All],[Sexe]]</definedName>
    <definedName name="Tel_1" localSheetId="4">Modifier_adhérent!$D$19</definedName>
    <definedName name="Tel_1" localSheetId="5">'Saisir un bon de recette'!#REF!</definedName>
    <definedName name="Tel_1">Insérer_nouvel_adhérent!$D$19</definedName>
    <definedName name="Tipo" localSheetId="4">Modifier_adhérent!$D$22</definedName>
    <definedName name="Tipo" localSheetId="5">'Saisir un bon de recette'!#REF!</definedName>
    <definedName name="Tipo">Insérer_nouvel_adhérent!$D$22</definedName>
    <definedName name="Type" localSheetId="4">Tableau1[[#All],[Type]]</definedName>
    <definedName name="Type" localSheetId="2">Tableau1[[#All],[Type]]</definedName>
    <definedName name="Type" localSheetId="5">Tableau1[[#All],[Type]]</definedName>
    <definedName name="Type" localSheetId="3">Tableau1[[#All],[Type]]</definedName>
    <definedName name="Type">Tableau1[[#All],[Type]]</definedName>
    <definedName name="_xlnm.Print_Area" localSheetId="13">Feuil3!$A$1:$AD$67</definedName>
    <definedName name="_xlnm.Print_Area" localSheetId="1">Insérer_nouvel_adhérent!$A$3:$L$24</definedName>
    <definedName name="_xlnm.Print_Area" localSheetId="7">'Liste gobale'!#REF!</definedName>
    <definedName name="_xlnm.Print_Area" localSheetId="0">'Menu principal'!$A$1:$H$23</definedName>
    <definedName name="_xlnm.Print_Area" localSheetId="4">Modifier_adhérent!$A$3:$L$24</definedName>
    <definedName name="_xlnm.Print_Area" localSheetId="2">'Recherche Adhérent'!$A$3:$I$9</definedName>
    <definedName name="_xlnm.Print_Area" localSheetId="5">'Saisir un bon de recette'!$A$3:$M$21</definedName>
    <definedName name="_xlnm.Print_Area" localSheetId="3">'Situation paiement'!$A$3:$N$10</definedName>
    <definedName name="_xlnm.Print_Area" localSheetId="14">'Situation paiement Ecole d''été'!$A$4:$G$185</definedName>
  </definedNames>
  <calcPr calcId="191029"/>
  <pivotCaches>
    <pivotCache cacheId="0" r:id="rId17"/>
    <pivotCache cacheId="7" r:id="rId18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2" l="1"/>
  <c r="Q2" i="1"/>
  <c r="O2" i="1"/>
  <c r="R2" i="1"/>
  <c r="W2" i="1"/>
  <c r="A3" i="12"/>
  <c r="A4" i="12"/>
  <c r="A5" i="12"/>
  <c r="A6" i="12"/>
  <c r="S2" i="1" l="1"/>
  <c r="V3" i="1" l="1"/>
  <c r="W3" i="1" s="1"/>
  <c r="V4" i="1"/>
  <c r="W4" i="1" s="1"/>
  <c r="O3" i="1"/>
  <c r="Q3" i="1" s="1"/>
  <c r="R3" i="1"/>
  <c r="V5" i="1"/>
  <c r="W5" i="1" s="1"/>
  <c r="V6" i="1"/>
  <c r="W6" i="1" s="1"/>
  <c r="O4" i="1"/>
  <c r="Q4" i="1" s="1"/>
  <c r="R4" i="1"/>
  <c r="S4" i="1" s="1"/>
  <c r="O5" i="1"/>
  <c r="Q5" i="1" s="1"/>
  <c r="R5" i="1"/>
  <c r="O6" i="1"/>
  <c r="Q6" i="1" s="1"/>
  <c r="R6" i="1"/>
  <c r="S6" i="1" l="1"/>
  <c r="S5" i="1"/>
  <c r="S3" i="1"/>
  <c r="D10" i="10"/>
  <c r="D8" i="10"/>
  <c r="N5" i="6" l="1"/>
  <c r="D31" i="16" l="1"/>
  <c r="J24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13" i="16"/>
  <c r="I12" i="16"/>
  <c r="I11" i="16"/>
  <c r="I10" i="16"/>
  <c r="I9" i="16"/>
  <c r="I8" i="16"/>
  <c r="I7" i="16"/>
  <c r="I6" i="16"/>
  <c r="I5" i="16"/>
  <c r="I28" i="16" s="1"/>
  <c r="H27" i="16"/>
  <c r="K27" i="16" s="1"/>
  <c r="H26" i="16"/>
  <c r="K26" i="16" s="1"/>
  <c r="H23" i="16"/>
  <c r="K23" i="16" s="1"/>
  <c r="H19" i="16"/>
  <c r="K19" i="16" s="1"/>
  <c r="H18" i="16"/>
  <c r="K18" i="16" s="1"/>
  <c r="H17" i="16"/>
  <c r="K17" i="16" s="1"/>
  <c r="H16" i="16"/>
  <c r="K16" i="16" s="1"/>
  <c r="H8" i="16"/>
  <c r="K8" i="16" s="1"/>
  <c r="M25" i="16"/>
  <c r="H25" i="16" s="1"/>
  <c r="K25" i="16" s="1"/>
  <c r="M24" i="16"/>
  <c r="H24" i="16" s="1"/>
  <c r="K24" i="16" s="1"/>
  <c r="M22" i="16"/>
  <c r="H22" i="16" s="1"/>
  <c r="K22" i="16" s="1"/>
  <c r="M21" i="16"/>
  <c r="H21" i="16" s="1"/>
  <c r="K21" i="16" s="1"/>
  <c r="M20" i="16"/>
  <c r="H20" i="16" s="1"/>
  <c r="K20" i="16" s="1"/>
  <c r="M15" i="16"/>
  <c r="H15" i="16" s="1"/>
  <c r="K15" i="16" s="1"/>
  <c r="M14" i="16"/>
  <c r="H14" i="16" s="1"/>
  <c r="K14" i="16" s="1"/>
  <c r="M13" i="16"/>
  <c r="H13" i="16" s="1"/>
  <c r="K13" i="16" s="1"/>
  <c r="M12" i="16"/>
  <c r="H12" i="16" s="1"/>
  <c r="K12" i="16" s="1"/>
  <c r="M11" i="16"/>
  <c r="H11" i="16" s="1"/>
  <c r="K11" i="16" s="1"/>
  <c r="M10" i="16"/>
  <c r="H10" i="16" s="1"/>
  <c r="K10" i="16" s="1"/>
  <c r="M9" i="16"/>
  <c r="H9" i="16" s="1"/>
  <c r="K9" i="16" s="1"/>
  <c r="M7" i="16"/>
  <c r="H7" i="16" s="1"/>
  <c r="K7" i="16" s="1"/>
  <c r="M6" i="16"/>
  <c r="H6" i="16" s="1"/>
  <c r="K6" i="16" s="1"/>
  <c r="M5" i="16"/>
  <c r="H5" i="16" s="1"/>
  <c r="H28" i="16" l="1"/>
  <c r="K28" i="16" s="1"/>
  <c r="K5" i="16"/>
  <c r="H19" i="11" l="1"/>
  <c r="H15" i="11"/>
  <c r="H13" i="11"/>
  <c r="H11" i="11"/>
  <c r="H9" i="11"/>
  <c r="D22" i="11"/>
  <c r="D20" i="11"/>
  <c r="D19" i="11"/>
  <c r="D15" i="11"/>
  <c r="D13" i="11"/>
  <c r="D11" i="11"/>
  <c r="D9" i="11"/>
  <c r="H17" i="11" l="1"/>
  <c r="R19" i="11"/>
  <c r="R15" i="11"/>
  <c r="R13" i="11"/>
  <c r="R17" i="11" l="1"/>
  <c r="L2" i="15"/>
  <c r="K2" i="15"/>
  <c r="J2" i="15"/>
  <c r="I2" i="15"/>
  <c r="H2" i="15"/>
  <c r="D17" i="15"/>
  <c r="F2" i="15" s="1"/>
  <c r="D15" i="15"/>
  <c r="G2" i="15" s="1"/>
  <c r="E2" i="15"/>
  <c r="I14" i="10" l="1"/>
  <c r="I16" i="10" l="1"/>
  <c r="D2" i="15"/>
  <c r="C2" i="15"/>
  <c r="B9" i="15"/>
  <c r="B2" i="15" s="1"/>
  <c r="A2" i="15" s="1"/>
  <c r="O5" i="15"/>
  <c r="O2" i="15"/>
  <c r="I20" i="10" l="1"/>
  <c r="K29" i="10"/>
  <c r="I29" i="10"/>
  <c r="H29" i="10"/>
  <c r="E29" i="10"/>
  <c r="D29" i="10"/>
  <c r="C29" i="10"/>
  <c r="B29" i="10"/>
  <c r="K28" i="10"/>
  <c r="I28" i="10"/>
  <c r="H28" i="10"/>
  <c r="E28" i="10"/>
  <c r="D28" i="10"/>
  <c r="C28" i="10"/>
  <c r="B28" i="10"/>
  <c r="K27" i="10"/>
  <c r="I27" i="10"/>
  <c r="H27" i="10"/>
  <c r="E27" i="10"/>
  <c r="D27" i="10"/>
  <c r="C27" i="10"/>
  <c r="B27" i="10"/>
  <c r="K26" i="10"/>
  <c r="I26" i="10"/>
  <c r="H26" i="10"/>
  <c r="E26" i="10"/>
  <c r="D26" i="10"/>
  <c r="C26" i="10"/>
  <c r="B26" i="10"/>
  <c r="K25" i="10"/>
  <c r="I25" i="10"/>
  <c r="H25" i="10"/>
  <c r="E25" i="10"/>
  <c r="D25" i="10"/>
  <c r="C25" i="10"/>
  <c r="B25" i="10"/>
  <c r="K24" i="10"/>
  <c r="I24" i="10"/>
  <c r="H24" i="10"/>
  <c r="E24" i="10"/>
  <c r="D24" i="10"/>
  <c r="C24" i="10"/>
  <c r="B24" i="10"/>
  <c r="K23" i="10"/>
  <c r="I23" i="10"/>
  <c r="H23" i="10"/>
  <c r="E23" i="10"/>
  <c r="D23" i="10"/>
  <c r="C23" i="10"/>
  <c r="B23" i="10"/>
  <c r="K22" i="10"/>
  <c r="I22" i="10"/>
  <c r="H22" i="10"/>
  <c r="E22" i="10"/>
  <c r="D22" i="10"/>
  <c r="C22" i="10"/>
  <c r="B22" i="10"/>
  <c r="K21" i="10"/>
  <c r="I21" i="10"/>
  <c r="H21" i="10"/>
  <c r="E21" i="10"/>
  <c r="D21" i="10"/>
  <c r="C21" i="10"/>
  <c r="B21" i="10"/>
  <c r="K20" i="10"/>
  <c r="H20" i="10"/>
  <c r="E20" i="10"/>
  <c r="D20" i="10"/>
  <c r="C20" i="10"/>
  <c r="B20" i="10"/>
  <c r="V10" i="10"/>
  <c r="I10" i="10" l="1"/>
  <c r="I8" i="10"/>
  <c r="H2" i="11"/>
  <c r="L2" i="11"/>
  <c r="K2" i="11"/>
  <c r="I2" i="11"/>
  <c r="G2" i="11"/>
  <c r="F2" i="11"/>
  <c r="E2" i="11"/>
  <c r="D2" i="11"/>
  <c r="B2" i="11"/>
  <c r="R11" i="11"/>
  <c r="R9" i="11"/>
  <c r="P22" i="11"/>
  <c r="P13" i="11"/>
  <c r="P11" i="11"/>
  <c r="N6" i="11"/>
  <c r="A2" i="11"/>
  <c r="G16" i="9"/>
  <c r="F16" i="9"/>
  <c r="E61" i="9"/>
  <c r="D61" i="9"/>
  <c r="C61" i="9"/>
  <c r="B61" i="9"/>
  <c r="E60" i="9"/>
  <c r="D60" i="9"/>
  <c r="C60" i="9"/>
  <c r="B60" i="9"/>
  <c r="E59" i="9"/>
  <c r="D59" i="9"/>
  <c r="C59" i="9"/>
  <c r="B59" i="9"/>
  <c r="E58" i="9"/>
  <c r="D58" i="9"/>
  <c r="C58" i="9"/>
  <c r="B58" i="9"/>
  <c r="E57" i="9"/>
  <c r="D57" i="9"/>
  <c r="C57" i="9"/>
  <c r="B57" i="9"/>
  <c r="E56" i="9"/>
  <c r="D56" i="9"/>
  <c r="C56" i="9"/>
  <c r="B56" i="9"/>
  <c r="E55" i="9"/>
  <c r="D55" i="9"/>
  <c r="C55" i="9"/>
  <c r="B55" i="9"/>
  <c r="E54" i="9"/>
  <c r="D54" i="9"/>
  <c r="C54" i="9"/>
  <c r="B54" i="9"/>
  <c r="E53" i="9"/>
  <c r="D53" i="9"/>
  <c r="C53" i="9"/>
  <c r="B53" i="9"/>
  <c r="E52" i="9"/>
  <c r="D52" i="9"/>
  <c r="C52" i="9"/>
  <c r="B52" i="9"/>
  <c r="E51" i="9"/>
  <c r="D51" i="9"/>
  <c r="C51" i="9"/>
  <c r="B51" i="9"/>
  <c r="E50" i="9"/>
  <c r="D50" i="9"/>
  <c r="C50" i="9"/>
  <c r="B50" i="9"/>
  <c r="E49" i="9"/>
  <c r="D49" i="9"/>
  <c r="C49" i="9"/>
  <c r="B49" i="9"/>
  <c r="E48" i="9"/>
  <c r="D48" i="9"/>
  <c r="C48" i="9"/>
  <c r="B48" i="9"/>
  <c r="E47" i="9"/>
  <c r="D47" i="9"/>
  <c r="C47" i="9"/>
  <c r="B47" i="9"/>
  <c r="E46" i="9"/>
  <c r="D46" i="9"/>
  <c r="C46" i="9"/>
  <c r="B46" i="9"/>
  <c r="E45" i="9"/>
  <c r="D45" i="9"/>
  <c r="C45" i="9"/>
  <c r="B45" i="9"/>
  <c r="E44" i="9"/>
  <c r="D44" i="9"/>
  <c r="C44" i="9"/>
  <c r="B44" i="9"/>
  <c r="E43" i="9"/>
  <c r="D43" i="9"/>
  <c r="C43" i="9"/>
  <c r="B43" i="9"/>
  <c r="E42" i="9"/>
  <c r="D42" i="9"/>
  <c r="C42" i="9"/>
  <c r="B42" i="9"/>
  <c r="E41" i="9"/>
  <c r="D41" i="9"/>
  <c r="C41" i="9"/>
  <c r="B41" i="9"/>
  <c r="E40" i="9"/>
  <c r="D40" i="9"/>
  <c r="C40" i="9"/>
  <c r="B40" i="9"/>
  <c r="E39" i="9"/>
  <c r="D39" i="9"/>
  <c r="C39" i="9"/>
  <c r="B39" i="9"/>
  <c r="E38" i="9"/>
  <c r="D38" i="9"/>
  <c r="C38" i="9"/>
  <c r="B38" i="9"/>
  <c r="E37" i="9"/>
  <c r="D37" i="9"/>
  <c r="C37" i="9"/>
  <c r="B37" i="9"/>
  <c r="E36" i="9"/>
  <c r="D36" i="9"/>
  <c r="C36" i="9"/>
  <c r="B36" i="9"/>
  <c r="E35" i="9"/>
  <c r="D35" i="9"/>
  <c r="C35" i="9"/>
  <c r="B35" i="9"/>
  <c r="E34" i="9"/>
  <c r="D34" i="9"/>
  <c r="C34" i="9"/>
  <c r="B34" i="9"/>
  <c r="E33" i="9"/>
  <c r="D33" i="9"/>
  <c r="C33" i="9"/>
  <c r="B33" i="9"/>
  <c r="E32" i="9"/>
  <c r="D32" i="9"/>
  <c r="C32" i="9"/>
  <c r="B32" i="9"/>
  <c r="E31" i="9"/>
  <c r="D31" i="9"/>
  <c r="C31" i="9"/>
  <c r="B31" i="9"/>
  <c r="E30" i="9"/>
  <c r="D30" i="9"/>
  <c r="C30" i="9"/>
  <c r="B30" i="9"/>
  <c r="E29" i="9"/>
  <c r="D29" i="9"/>
  <c r="C29" i="9"/>
  <c r="B29" i="9"/>
  <c r="E28" i="9"/>
  <c r="D28" i="9"/>
  <c r="C28" i="9"/>
  <c r="B28" i="9"/>
  <c r="E27" i="9"/>
  <c r="D27" i="9"/>
  <c r="C27" i="9"/>
  <c r="B27" i="9"/>
  <c r="E26" i="9"/>
  <c r="D26" i="9"/>
  <c r="C26" i="9"/>
  <c r="B26" i="9"/>
  <c r="E25" i="9"/>
  <c r="D25" i="9"/>
  <c r="C25" i="9"/>
  <c r="B25" i="9"/>
  <c r="E24" i="9"/>
  <c r="D24" i="9"/>
  <c r="C24" i="9"/>
  <c r="B24" i="9"/>
  <c r="E23" i="9"/>
  <c r="D23" i="9"/>
  <c r="C23" i="9"/>
  <c r="B23" i="9"/>
  <c r="E22" i="9"/>
  <c r="D22" i="9"/>
  <c r="C22" i="9"/>
  <c r="B22" i="9"/>
  <c r="E21" i="9"/>
  <c r="D21" i="9"/>
  <c r="C21" i="9"/>
  <c r="B21" i="9"/>
  <c r="E20" i="9"/>
  <c r="D20" i="9"/>
  <c r="C20" i="9"/>
  <c r="B20" i="9"/>
  <c r="E19" i="9"/>
  <c r="D19" i="9"/>
  <c r="C19" i="9"/>
  <c r="B19" i="9"/>
  <c r="E18" i="9"/>
  <c r="D18" i="9"/>
  <c r="C18" i="9"/>
  <c r="B18" i="9"/>
  <c r="E17" i="9"/>
  <c r="D17" i="9"/>
  <c r="C17" i="9"/>
  <c r="B17" i="9"/>
  <c r="E16" i="9"/>
  <c r="D16" i="9"/>
  <c r="C16" i="9"/>
  <c r="B16" i="9"/>
  <c r="F2" i="10"/>
  <c r="D65" i="10"/>
  <c r="C65" i="10"/>
  <c r="B65" i="10"/>
  <c r="D64" i="10"/>
  <c r="C64" i="10"/>
  <c r="B64" i="10"/>
  <c r="D63" i="10"/>
  <c r="C63" i="10"/>
  <c r="B63" i="10"/>
  <c r="D62" i="10"/>
  <c r="C62" i="10"/>
  <c r="B62" i="10"/>
  <c r="D61" i="10"/>
  <c r="C61" i="10"/>
  <c r="B61" i="10"/>
  <c r="D60" i="10"/>
  <c r="C60" i="10"/>
  <c r="B60" i="10"/>
  <c r="D59" i="10"/>
  <c r="C59" i="10"/>
  <c r="B59" i="10"/>
  <c r="D58" i="10"/>
  <c r="C58" i="10"/>
  <c r="B58" i="10"/>
  <c r="D57" i="10"/>
  <c r="C57" i="10"/>
  <c r="B57" i="10"/>
  <c r="D56" i="10"/>
  <c r="C56" i="10"/>
  <c r="B56" i="10"/>
  <c r="D55" i="10"/>
  <c r="C55" i="10"/>
  <c r="B55" i="10"/>
  <c r="D54" i="10"/>
  <c r="C54" i="10"/>
  <c r="B54" i="10"/>
  <c r="D53" i="10"/>
  <c r="C53" i="10"/>
  <c r="B53" i="10"/>
  <c r="D52" i="10"/>
  <c r="C52" i="10"/>
  <c r="B52" i="10"/>
  <c r="D51" i="10"/>
  <c r="C51" i="10"/>
  <c r="B51" i="10"/>
  <c r="D50" i="10"/>
  <c r="C50" i="10"/>
  <c r="B50" i="10"/>
  <c r="D49" i="10"/>
  <c r="C49" i="10"/>
  <c r="B49" i="10"/>
  <c r="D48" i="10"/>
  <c r="C48" i="10"/>
  <c r="B48" i="10"/>
  <c r="D47" i="10"/>
  <c r="C47" i="10"/>
  <c r="B47" i="10"/>
  <c r="D46" i="10"/>
  <c r="C46" i="10"/>
  <c r="B46" i="10"/>
  <c r="D45" i="10"/>
  <c r="C45" i="10"/>
  <c r="B45" i="10"/>
  <c r="D44" i="10"/>
  <c r="C44" i="10"/>
  <c r="B44" i="10"/>
  <c r="D43" i="10"/>
  <c r="C43" i="10"/>
  <c r="B43" i="10"/>
  <c r="D42" i="10"/>
  <c r="C42" i="10"/>
  <c r="B42" i="10"/>
  <c r="D41" i="10"/>
  <c r="C41" i="10"/>
  <c r="B41" i="10"/>
  <c r="D40" i="10"/>
  <c r="C40" i="10"/>
  <c r="B40" i="10"/>
  <c r="D39" i="10"/>
  <c r="C39" i="10"/>
  <c r="B39" i="10"/>
  <c r="D38" i="10"/>
  <c r="C38" i="10"/>
  <c r="B38" i="10"/>
  <c r="D37" i="10"/>
  <c r="C37" i="10"/>
  <c r="B37" i="10"/>
  <c r="D36" i="10"/>
  <c r="C36" i="10"/>
  <c r="B36" i="10"/>
  <c r="D35" i="10"/>
  <c r="C35" i="10"/>
  <c r="B35" i="10"/>
  <c r="D34" i="10"/>
  <c r="C34" i="10"/>
  <c r="B34" i="10"/>
  <c r="D33" i="10"/>
  <c r="C33" i="10"/>
  <c r="B33" i="10"/>
  <c r="D32" i="10"/>
  <c r="C32" i="10"/>
  <c r="B32" i="10"/>
  <c r="D31" i="10"/>
  <c r="C31" i="10"/>
  <c r="B31" i="10"/>
  <c r="D30" i="10"/>
  <c r="C30" i="10"/>
  <c r="B30" i="10"/>
  <c r="O2" i="10"/>
  <c r="N2" i="10"/>
  <c r="J2" i="10"/>
  <c r="I2" i="10"/>
  <c r="H2" i="10"/>
  <c r="D2" i="10"/>
  <c r="C2" i="10"/>
  <c r="B2" i="10"/>
  <c r="A2" i="10"/>
  <c r="P10" i="9"/>
  <c r="O10" i="9"/>
  <c r="N10" i="9"/>
  <c r="A2" i="9"/>
  <c r="J2" i="9"/>
  <c r="I2" i="9"/>
  <c r="H2" i="9"/>
  <c r="G2" i="9"/>
  <c r="F2" i="9"/>
  <c r="E2" i="9"/>
  <c r="D2" i="9"/>
  <c r="C2" i="9"/>
  <c r="B2" i="9"/>
  <c r="M2" i="6"/>
  <c r="H15" i="6"/>
  <c r="H17" i="6" s="1"/>
  <c r="H7" i="6"/>
  <c r="A2" i="6" s="1"/>
  <c r="H2" i="6"/>
  <c r="L2" i="6"/>
  <c r="K2" i="6"/>
  <c r="I2" i="6"/>
  <c r="G2" i="6"/>
  <c r="F2" i="6"/>
  <c r="E2" i="6"/>
  <c r="D2" i="6"/>
  <c r="C2" i="6"/>
  <c r="B2" i="6"/>
  <c r="N2" i="11" l="1"/>
  <c r="M2" i="11"/>
  <c r="N5" i="11"/>
  <c r="C2" i="11"/>
  <c r="N2" i="6"/>
  <c r="P19" i="11"/>
  <c r="P20" i="11" l="1"/>
  <c r="P9" i="11" l="1"/>
  <c r="I12" i="10"/>
  <c r="P1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Abdelmaksoud Thameur</author>
  </authors>
  <commentList>
    <comment ref="B10" authorId="0" shapeId="0" xr:uid="{27CD7714-C5A5-47C8-B0C5-75116060EA3A}">
      <text>
        <r>
          <rPr>
            <b/>
            <sz val="9"/>
            <color indexed="81"/>
            <rFont val="Tahoma"/>
            <family val="2"/>
          </rPr>
          <t>Insérer le matricule de l'adhérent</t>
        </r>
      </text>
    </comment>
  </commentList>
</comments>
</file>

<file path=xl/sharedStrings.xml><?xml version="1.0" encoding="utf-8"?>
<sst xmlns="http://schemas.openxmlformats.org/spreadsheetml/2006/main" count="614" uniqueCount="237">
  <si>
    <t>Groupe</t>
  </si>
  <si>
    <t>Aya</t>
  </si>
  <si>
    <t>Rayhane</t>
  </si>
  <si>
    <t>Sarra</t>
  </si>
  <si>
    <t>Youssef</t>
  </si>
  <si>
    <t>Yassmine</t>
  </si>
  <si>
    <t>Zaineb</t>
  </si>
  <si>
    <t>Yacine</t>
  </si>
  <si>
    <t>Khalil</t>
  </si>
  <si>
    <t>Mrad</t>
  </si>
  <si>
    <t>Meriem</t>
  </si>
  <si>
    <t>Fares</t>
  </si>
  <si>
    <t>Amine</t>
  </si>
  <si>
    <t>Miral</t>
  </si>
  <si>
    <t>Nebli</t>
  </si>
  <si>
    <t>Yosr</t>
  </si>
  <si>
    <t>Jamila</t>
  </si>
  <si>
    <t>Juri</t>
  </si>
  <si>
    <t>Hedi</t>
  </si>
  <si>
    <t>Bettaieb</t>
  </si>
  <si>
    <t>Jaballah</t>
  </si>
  <si>
    <t>Mayar</t>
  </si>
  <si>
    <t>Aycha</t>
  </si>
  <si>
    <t>Berhouma</t>
  </si>
  <si>
    <t>Tel 1</t>
  </si>
  <si>
    <t>Cotisation</t>
  </si>
  <si>
    <t>Reste</t>
  </si>
  <si>
    <t>Nour</t>
  </si>
  <si>
    <t>Jelassi</t>
  </si>
  <si>
    <t>Gallas</t>
  </si>
  <si>
    <t>Matricule</t>
  </si>
  <si>
    <t>Mili</t>
  </si>
  <si>
    <t>Payé</t>
  </si>
  <si>
    <t>Date de naissance</t>
  </si>
  <si>
    <t>Tel 2</t>
  </si>
  <si>
    <t>E-mail</t>
  </si>
  <si>
    <t>Type</t>
  </si>
  <si>
    <t>Nom            اللقب</t>
  </si>
  <si>
    <t xml:space="preserve">Prénom            الاسم  </t>
  </si>
  <si>
    <t>Ecole</t>
  </si>
  <si>
    <t>Adulte</t>
  </si>
  <si>
    <t>Compétitif</t>
  </si>
  <si>
    <t>Sexe</t>
  </si>
  <si>
    <t>M</t>
  </si>
  <si>
    <t>F</t>
  </si>
  <si>
    <t>Remise</t>
  </si>
  <si>
    <t>A payer</t>
  </si>
  <si>
    <t>Entraineur</t>
  </si>
  <si>
    <t>Ramzi</t>
  </si>
  <si>
    <t>Ilhem</t>
  </si>
  <si>
    <t xml:space="preserve">Nom </t>
  </si>
  <si>
    <t>Prenom</t>
  </si>
  <si>
    <t xml:space="preserve">Amina </t>
  </si>
  <si>
    <t>aya</t>
  </si>
  <si>
    <t>Mallesi</t>
  </si>
  <si>
    <t>belhassan</t>
  </si>
  <si>
    <t>belhadj</t>
  </si>
  <si>
    <t>Najd</t>
  </si>
  <si>
    <t>ben amor</t>
  </si>
  <si>
    <t>Nayrouz</t>
  </si>
  <si>
    <t>mnasser</t>
  </si>
  <si>
    <t>Boufares</t>
  </si>
  <si>
    <t>kssia</t>
  </si>
  <si>
    <t>ayachi</t>
  </si>
  <si>
    <t>Rayhane+nidhal</t>
  </si>
  <si>
    <t>jegham</t>
  </si>
  <si>
    <t>emna</t>
  </si>
  <si>
    <t>nour</t>
  </si>
  <si>
    <t>ramzi</t>
  </si>
  <si>
    <t>ID Groupe</t>
  </si>
  <si>
    <t>Amen allah</t>
  </si>
  <si>
    <t>khaled</t>
  </si>
  <si>
    <t>pas de fiche</t>
  </si>
  <si>
    <t>slim</t>
  </si>
  <si>
    <t>Carnet</t>
  </si>
  <si>
    <t>Anis + Yosri</t>
  </si>
  <si>
    <t>Walid</t>
  </si>
  <si>
    <t>mokhtar</t>
  </si>
  <si>
    <t>Afif</t>
  </si>
  <si>
    <t>Nidhal</t>
  </si>
  <si>
    <t>Med Ladheri</t>
  </si>
  <si>
    <t>Sedki Ladheri</t>
  </si>
  <si>
    <t>Anis jedidi</t>
  </si>
  <si>
    <t>Hentati</t>
  </si>
  <si>
    <t>????</t>
  </si>
  <si>
    <t>Aya + anis</t>
  </si>
  <si>
    <t>kortas</t>
  </si>
  <si>
    <t>Coach Tennis</t>
  </si>
  <si>
    <t>Adjoint Tennis</t>
  </si>
  <si>
    <t>Coach Physique</t>
  </si>
  <si>
    <t>Adjoint Physique</t>
  </si>
  <si>
    <t>Heures Tennis</t>
  </si>
  <si>
    <t>Heures Physique</t>
  </si>
  <si>
    <t>Rahma</t>
  </si>
  <si>
    <t>Yosri</t>
  </si>
  <si>
    <t>Nidhal Yezza</t>
  </si>
  <si>
    <t>Afif Mhiri</t>
  </si>
  <si>
    <t>Rayhane Ben Amor</t>
  </si>
  <si>
    <t>Anis Jegham</t>
  </si>
  <si>
    <t>Anis Jegham Jedidi</t>
  </si>
  <si>
    <t>Aya Hdaya</t>
  </si>
  <si>
    <t>Marouane Gallas</t>
  </si>
  <si>
    <t>Nour Kbaili</t>
  </si>
  <si>
    <t>Amine Jebri</t>
  </si>
  <si>
    <t>Ilhem Gaaloul</t>
  </si>
  <si>
    <t>Anouar Chalabi</t>
  </si>
  <si>
    <t>?</t>
  </si>
  <si>
    <t>Mokhtar Ben Bakhma</t>
  </si>
  <si>
    <t>Walid Missoum</t>
  </si>
  <si>
    <t>8H---9H</t>
  </si>
  <si>
    <t>9H---10H</t>
  </si>
  <si>
    <t>10H---11H</t>
  </si>
  <si>
    <t>11H---12H</t>
  </si>
  <si>
    <t>14H---15H</t>
  </si>
  <si>
    <t>15H---16H</t>
  </si>
  <si>
    <t>16H---17H</t>
  </si>
  <si>
    <t>17H---18H</t>
  </si>
  <si>
    <t>18H---19H</t>
  </si>
  <si>
    <t>19H---20H</t>
  </si>
  <si>
    <t>20H---21H</t>
  </si>
  <si>
    <t>21H---22H</t>
  </si>
  <si>
    <t>LUNDI</t>
  </si>
  <si>
    <t>C1</t>
  </si>
  <si>
    <t>C2</t>
  </si>
  <si>
    <t>C3</t>
  </si>
  <si>
    <t>C4</t>
  </si>
  <si>
    <t>TB</t>
  </si>
  <si>
    <t>C6</t>
  </si>
  <si>
    <t>MT</t>
  </si>
  <si>
    <t>C7</t>
  </si>
  <si>
    <t>C8</t>
  </si>
  <si>
    <t>MARDI</t>
  </si>
  <si>
    <t>MERCREDI</t>
  </si>
  <si>
    <t>JEUDI</t>
  </si>
  <si>
    <t>VENDREDI</t>
  </si>
  <si>
    <t>SAMEDI</t>
  </si>
  <si>
    <t>DIMANCHE</t>
  </si>
  <si>
    <t>l'accès au terrain terre battue (TB) ne se fait qu'après accord de la direction technique</t>
  </si>
  <si>
    <t>12H---13H</t>
  </si>
  <si>
    <t>13H---14H</t>
  </si>
  <si>
    <t>entraineur</t>
  </si>
  <si>
    <t>Ramzi Kharrat</t>
  </si>
  <si>
    <t>ID Coach</t>
  </si>
  <si>
    <t>Alaeddine Rahal</t>
  </si>
  <si>
    <t>Nidhal Boufaied</t>
  </si>
  <si>
    <t>Amine Khouaja</t>
  </si>
  <si>
    <t>Date inscription</t>
  </si>
  <si>
    <t>Deuxime enfant</t>
  </si>
  <si>
    <t>Loisir</t>
  </si>
  <si>
    <t>Pré-compétitif</t>
  </si>
  <si>
    <t>Adule</t>
  </si>
  <si>
    <t>Oui</t>
  </si>
  <si>
    <t>Non</t>
  </si>
  <si>
    <t>Cotisation à payer</t>
  </si>
  <si>
    <t>Email</t>
  </si>
  <si>
    <t>Deuxime abonnement ?</t>
  </si>
  <si>
    <t>INSERER UN NOUVEL ADHERENT</t>
  </si>
  <si>
    <t>SAISIR BON RECETTE</t>
  </si>
  <si>
    <t>INSCRIPTION NOUVEL ADHERENT</t>
  </si>
  <si>
    <t>Prénom       (الاسم)</t>
  </si>
  <si>
    <t>RECHERCHE ADHERENT</t>
  </si>
  <si>
    <t>Nom              (اللقب)</t>
  </si>
  <si>
    <t>Nom         (اللقب)</t>
  </si>
  <si>
    <t>Montant à payer</t>
  </si>
  <si>
    <t>Montant payé</t>
  </si>
  <si>
    <t>Réste à payer</t>
  </si>
  <si>
    <t>Date</t>
  </si>
  <si>
    <t>SITUATION DE PAIEMENT ADHERENT</t>
  </si>
  <si>
    <t>Numero Tel 1</t>
  </si>
  <si>
    <t>Numero Tel 2</t>
  </si>
  <si>
    <r>
      <t xml:space="preserve">Prénom            (الاسم) </t>
    </r>
    <r>
      <rPr>
        <b/>
        <sz val="18"/>
        <color rgb="FFFF0000"/>
        <rFont val="Bodoni MT"/>
        <family val="1"/>
      </rPr>
      <t>*</t>
    </r>
  </si>
  <si>
    <r>
      <t>Nom                 (اللقب)</t>
    </r>
    <r>
      <rPr>
        <b/>
        <sz val="18"/>
        <color rgb="FFFF0000"/>
        <rFont val="Bodoni MT"/>
        <family val="1"/>
      </rPr>
      <t>*</t>
    </r>
  </si>
  <si>
    <r>
      <t>Cotisation</t>
    </r>
    <r>
      <rPr>
        <b/>
        <sz val="18"/>
        <color theme="8" tint="-0.499984740745262"/>
        <rFont val="Bodoni MT"/>
        <family val="1"/>
      </rPr>
      <t xml:space="preserve">  </t>
    </r>
    <r>
      <rPr>
        <b/>
        <sz val="18"/>
        <color rgb="FFFF0000"/>
        <rFont val="Bodoni MT"/>
        <family val="1"/>
      </rPr>
      <t>*</t>
    </r>
  </si>
  <si>
    <r>
      <t>Tel 1</t>
    </r>
    <r>
      <rPr>
        <b/>
        <sz val="18"/>
        <color theme="8" tint="-0.499984740745262"/>
        <rFont val="Bodoni MT"/>
        <family val="1"/>
      </rPr>
      <t xml:space="preserve">  </t>
    </r>
    <r>
      <rPr>
        <b/>
        <sz val="18"/>
        <color rgb="FFFF0000"/>
        <rFont val="Bodoni MT"/>
        <family val="1"/>
      </rPr>
      <t>*</t>
    </r>
  </si>
  <si>
    <r>
      <t>Date de naissance</t>
    </r>
    <r>
      <rPr>
        <b/>
        <sz val="18"/>
        <color rgb="FFFF0000"/>
        <rFont val="Bodoni MT"/>
        <family val="1"/>
      </rPr>
      <t xml:space="preserve">  *</t>
    </r>
  </si>
  <si>
    <r>
      <t>Sexe</t>
    </r>
    <r>
      <rPr>
        <b/>
        <sz val="18"/>
        <color rgb="FFFF0000"/>
        <rFont val="Bodoni MT"/>
        <family val="1"/>
      </rPr>
      <t xml:space="preserve">  *</t>
    </r>
  </si>
  <si>
    <r>
      <t>Type</t>
    </r>
    <r>
      <rPr>
        <b/>
        <sz val="18"/>
        <color rgb="FFFF0000"/>
        <rFont val="Bodoni MT"/>
        <family val="1"/>
      </rPr>
      <t xml:space="preserve">  *</t>
    </r>
  </si>
  <si>
    <t>MODIFIER DONNEES ADHERENT</t>
  </si>
  <si>
    <t>Prénom            (الاسم)</t>
  </si>
  <si>
    <t>Nom                 (اللقب)</t>
  </si>
  <si>
    <t>ND</t>
  </si>
  <si>
    <t>MODIFICATION DONNEES ADHERENT</t>
  </si>
  <si>
    <t xml:space="preserve">N° </t>
  </si>
  <si>
    <t>Libéllé</t>
  </si>
  <si>
    <t>Montant</t>
  </si>
  <si>
    <t>Type règlement</t>
  </si>
  <si>
    <t>N° de chèque</t>
  </si>
  <si>
    <t>Banque</t>
  </si>
  <si>
    <t>Date encaissement</t>
  </si>
  <si>
    <t>Encaissement abonnement Loisir / Ecole</t>
  </si>
  <si>
    <t>Chèque</t>
  </si>
  <si>
    <t>Encaissement abonnement compétitif</t>
  </si>
  <si>
    <t>Espèce</t>
  </si>
  <si>
    <t>Annulé</t>
  </si>
  <si>
    <t>Autre</t>
  </si>
  <si>
    <t>Sponsor</t>
  </si>
  <si>
    <t>Tenue</t>
  </si>
  <si>
    <t>Loyer buvette</t>
  </si>
  <si>
    <t>Code IJIN</t>
  </si>
  <si>
    <t>Location de court</t>
  </si>
  <si>
    <t>Colonne1</t>
  </si>
  <si>
    <t>Bon n°</t>
  </si>
  <si>
    <t>Carnet N°</t>
  </si>
  <si>
    <t>TENNIS CLUB HAMMAM SOUSSE</t>
  </si>
  <si>
    <t>Appel 3</t>
  </si>
  <si>
    <t>Type de règlement</t>
  </si>
  <si>
    <t>Date d'échéance</t>
  </si>
  <si>
    <t>Bon de caisse N°</t>
  </si>
  <si>
    <t>Avoir</t>
  </si>
  <si>
    <t>NOUVEAU BON DE RECETTE :</t>
  </si>
  <si>
    <t>Règlement abonnement joueurs compétitifs ou loisirs</t>
  </si>
  <si>
    <t>Autres réglements</t>
  </si>
  <si>
    <t>Total général</t>
  </si>
  <si>
    <t>Somme de A payer</t>
  </si>
  <si>
    <t>Somme de Payé</t>
  </si>
  <si>
    <t>Valeurs</t>
  </si>
  <si>
    <t>Nombre de Matricule</t>
  </si>
  <si>
    <t>Volume Tennis</t>
  </si>
  <si>
    <t>Volume Physique</t>
  </si>
  <si>
    <t>Coût Ent. Tennis</t>
  </si>
  <si>
    <t>Coût Ent. Phys.</t>
  </si>
  <si>
    <t>Balle</t>
  </si>
  <si>
    <t>Rt Groupe</t>
  </si>
  <si>
    <t>Sal</t>
  </si>
  <si>
    <t>Tx/ horaire</t>
  </si>
  <si>
    <t>Ecole d'été</t>
  </si>
  <si>
    <t>Cotisation annuelle</t>
  </si>
  <si>
    <t>Cotisation Ecole d'été</t>
  </si>
  <si>
    <t>Groupe Ecole d'été</t>
  </si>
  <si>
    <t>Paiement Ecole d'éte</t>
  </si>
  <si>
    <t>Rest à payer Ecole d'été</t>
  </si>
  <si>
    <t xml:space="preserve"> Cotisation Ecole d'été</t>
  </si>
  <si>
    <t xml:space="preserve"> Paiement Ecole d'éte</t>
  </si>
  <si>
    <t xml:space="preserve"> Reste à payer Ecole d'été</t>
  </si>
  <si>
    <t>Reste total</t>
  </si>
  <si>
    <t>Thameur</t>
  </si>
  <si>
    <t>Abdelmaksoud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</si>
</sst>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64" formatCode="_-* #,##0.00\ _€_-;\-* #,##0.00\ _€_-;_-* &quot;-&quot;??\ _€_-;_-@_-"/>
    <numFmt numFmtId="165" formatCode="_-* #,##0_-;\-* #,##0_-;_-* &quot;-&quot;??_-;_-@_-"/>
    <numFmt numFmtId="166" formatCode="#,##0&quot;/2023&quot;"/>
    <numFmt numFmtId="167" formatCode="000&quot;/2023&quot;"/>
    <numFmt numFmtId="168" formatCode="_-* #,##0.000_-;\-* #,##0.000_-;_-* &quot;-&quot;??_-;_-@_-"/>
    <numFmt numFmtId="169" formatCode="#,##0.000"/>
    <numFmt numFmtId="170" formatCode="#,##0_ ;\-#,##0\ "/>
    <numFmt numFmtId="171" formatCode="h:mm;@"/>
    <numFmt numFmtId="172" formatCode="000&quot;/2024&quot;"/>
    <numFmt numFmtId="173" formatCode="000&quot;/2025&quot;"/>
  </numFmts>
  <fonts count="5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 tint="4.9989318521683403E-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4"/>
      <color theme="1"/>
      <name val="Bodoni MT"/>
      <family val="1"/>
    </font>
    <font>
      <b/>
      <sz val="16"/>
      <color theme="0"/>
      <name val="Bodoni MT"/>
      <family val="1"/>
    </font>
    <font>
      <b/>
      <sz val="16"/>
      <color theme="1"/>
      <name val="Bodoni MT"/>
      <family val="1"/>
    </font>
    <font>
      <sz val="16"/>
      <color theme="1"/>
      <name val="Calibri"/>
      <family val="2"/>
      <scheme val="minor"/>
    </font>
    <font>
      <sz val="24"/>
      <color theme="0"/>
      <name val="Bodoni MT"/>
      <family val="1"/>
    </font>
    <font>
      <sz val="24"/>
      <color theme="0"/>
      <name val="Calibri"/>
      <family val="2"/>
      <scheme val="minor"/>
    </font>
    <font>
      <b/>
      <sz val="18"/>
      <color theme="8" tint="-0.499984740745262"/>
      <name val="Bodoni MT"/>
      <family val="1"/>
    </font>
    <font>
      <b/>
      <u val="double"/>
      <sz val="18"/>
      <color theme="8" tint="-0.499984740745262"/>
      <name val="Bodoni MT"/>
      <family val="1"/>
    </font>
    <font>
      <u val="double"/>
      <sz val="18"/>
      <color theme="8" tint="-0.499984740745262"/>
      <name val="Calibri"/>
      <family val="2"/>
      <scheme val="minor"/>
    </font>
    <font>
      <b/>
      <sz val="18"/>
      <color theme="0"/>
      <name val="Bookman Old Style"/>
      <family val="1"/>
    </font>
    <font>
      <b/>
      <sz val="14"/>
      <color theme="8" tint="-0.499984740745262"/>
      <name val="Bodoni MT"/>
      <family val="1"/>
    </font>
    <font>
      <sz val="14"/>
      <color theme="1"/>
      <name val="Calibri"/>
      <family val="2"/>
      <scheme val="minor"/>
    </font>
    <font>
      <b/>
      <sz val="14"/>
      <color rgb="FF000000"/>
      <name val="Bookman Old Style"/>
      <family val="1"/>
    </font>
    <font>
      <b/>
      <sz val="18"/>
      <color rgb="FFFF0000"/>
      <name val="Bodoni MT"/>
      <family val="1"/>
    </font>
    <font>
      <b/>
      <sz val="11"/>
      <color theme="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72"/>
      <color theme="1"/>
      <name val="Calibri"/>
      <family val="2"/>
      <scheme val="minor"/>
    </font>
    <font>
      <b/>
      <sz val="48"/>
      <color theme="8" tint="-0.499984740745262"/>
      <name val="Arial Black"/>
      <family val="2"/>
    </font>
    <font>
      <sz val="11"/>
      <color theme="0" tint="-0.14999847407452621"/>
      <name val="Calibri"/>
      <family val="2"/>
      <scheme val="minor"/>
    </font>
    <font>
      <b/>
      <u val="double"/>
      <sz val="16"/>
      <color theme="8" tint="-0.499984740745262"/>
      <name val="Bodoni MT"/>
      <family val="1"/>
    </font>
    <font>
      <u val="double"/>
      <sz val="16"/>
      <color theme="8" tint="-0.499984740745262"/>
      <name val="Calibri"/>
      <family val="2"/>
      <scheme val="minor"/>
    </font>
    <font>
      <b/>
      <sz val="13"/>
      <color theme="0"/>
      <name val="Bodoni MT"/>
      <family val="1"/>
    </font>
    <font>
      <b/>
      <sz val="11"/>
      <name val="Times New Roman"/>
      <family val="1"/>
    </font>
  </fonts>
  <fills count="14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slantDashDot">
        <color auto="1"/>
      </left>
      <right/>
      <top style="slantDashDot">
        <color auto="1"/>
      </top>
      <bottom/>
      <diagonal/>
    </border>
    <border>
      <left/>
      <right/>
      <top style="slantDashDot">
        <color auto="1"/>
      </top>
      <bottom/>
      <diagonal/>
    </border>
    <border>
      <left/>
      <right style="slantDashDot">
        <color auto="1"/>
      </right>
      <top style="slantDashDot">
        <color auto="1"/>
      </top>
      <bottom/>
      <diagonal/>
    </border>
    <border>
      <left style="slantDashDot">
        <color auto="1"/>
      </left>
      <right/>
      <top/>
      <bottom/>
      <diagonal/>
    </border>
    <border>
      <left/>
      <right style="slantDashDot">
        <color auto="1"/>
      </right>
      <top/>
      <bottom/>
      <diagonal/>
    </border>
    <border>
      <left style="slantDashDot">
        <color auto="1"/>
      </left>
      <right/>
      <top/>
      <bottom style="slantDashDot">
        <color auto="1"/>
      </bottom>
      <diagonal/>
    </border>
    <border>
      <left/>
      <right/>
      <top/>
      <bottom style="slantDashDot">
        <color auto="1"/>
      </bottom>
      <diagonal/>
    </border>
    <border>
      <left/>
      <right style="slantDashDot">
        <color auto="1"/>
      </right>
      <top/>
      <bottom style="slantDashDot">
        <color auto="1"/>
      </bottom>
      <diagonal/>
    </border>
  </borders>
  <cellStyleXfs count="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376">
    <xf numFmtId="0" fontId="0" fillId="0" borderId="0" xfId="0"/>
    <xf numFmtId="0" fontId="6" fillId="0" borderId="0" xfId="0" applyFont="1"/>
    <xf numFmtId="0" fontId="4" fillId="0" borderId="0" xfId="0" applyFont="1" applyAlignment="1">
      <alignment horizontal="center" vertical="center"/>
    </xf>
    <xf numFmtId="3" fontId="4" fillId="0" borderId="0" xfId="0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65" fontId="4" fillId="0" borderId="0" xfId="6" applyNumberFormat="1" applyFont="1" applyAlignment="1">
      <alignment horizontal="right" vertical="center"/>
    </xf>
    <xf numFmtId="165" fontId="4" fillId="0" borderId="0" xfId="6" applyNumberFormat="1" applyFont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14" fontId="9" fillId="2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3" fontId="9" fillId="2" borderId="0" xfId="0" applyNumberFormat="1" applyFont="1" applyFill="1" applyAlignment="1">
      <alignment horizontal="center" vertical="center"/>
    </xf>
    <xf numFmtId="165" fontId="9" fillId="2" borderId="0" xfId="6" applyNumberFormat="1" applyFont="1" applyFill="1" applyAlignment="1">
      <alignment horizontal="center" vertical="center"/>
    </xf>
    <xf numFmtId="14" fontId="4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3" fontId="4" fillId="0" borderId="0" xfId="0" applyNumberFormat="1" applyFont="1" applyAlignment="1">
      <alignment horizontal="center"/>
    </xf>
    <xf numFmtId="3" fontId="6" fillId="0" borderId="0" xfId="0" applyNumberFormat="1" applyFont="1" applyAlignment="1">
      <alignment horizontal="center"/>
    </xf>
    <xf numFmtId="3" fontId="6" fillId="0" borderId="0" xfId="0" applyNumberFormat="1" applyFont="1"/>
    <xf numFmtId="165" fontId="4" fillId="0" borderId="0" xfId="6" applyNumberFormat="1" applyFont="1" applyFill="1"/>
    <xf numFmtId="165" fontId="4" fillId="0" borderId="0" xfId="6" applyNumberFormat="1" applyFont="1" applyFill="1" applyAlignment="1">
      <alignment horizontal="right" vertical="center"/>
    </xf>
    <xf numFmtId="0" fontId="4" fillId="0" borderId="0" xfId="0" applyFont="1" applyAlignment="1">
      <alignment horizontal="center" vertical="center" wrapText="1"/>
    </xf>
    <xf numFmtId="14" fontId="4" fillId="0" borderId="0" xfId="0" applyNumberFormat="1" applyFont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4" fillId="0" borderId="0" xfId="0" applyFont="1" applyAlignment="1">
      <alignment horizontal="center" vertical="top" wrapText="1"/>
    </xf>
    <xf numFmtId="14" fontId="4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3" fontId="4" fillId="0" borderId="0" xfId="0" applyNumberFormat="1" applyFont="1"/>
    <xf numFmtId="0" fontId="6" fillId="0" borderId="0" xfId="0" applyFont="1" applyAlignment="1">
      <alignment horizontal="center"/>
    </xf>
    <xf numFmtId="14" fontId="4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4" fillId="0" borderId="0" xfId="0" applyFont="1" applyAlignment="1">
      <alignment horizontal="center" vertical="top"/>
    </xf>
    <xf numFmtId="0" fontId="4" fillId="0" borderId="0" xfId="0" applyFont="1" applyAlignment="1">
      <alignment horizontal="center" vertical="center" wrapText="1" readingOrder="2"/>
    </xf>
    <xf numFmtId="14" fontId="4" fillId="0" borderId="0" xfId="0" applyNumberFormat="1" applyFont="1" applyAlignment="1">
      <alignment horizontal="center" vertical="top" wrapText="1" readingOrder="2"/>
    </xf>
    <xf numFmtId="0" fontId="5" fillId="0" borderId="0" xfId="0" applyFont="1" applyAlignment="1">
      <alignment horizontal="center" vertical="top" wrapText="1" readingOrder="2"/>
    </xf>
    <xf numFmtId="0" fontId="4" fillId="0" borderId="0" xfId="0" applyFont="1" applyAlignment="1">
      <alignment horizontal="center" vertical="top" wrapText="1" readingOrder="2"/>
    </xf>
    <xf numFmtId="14" fontId="4" fillId="0" borderId="0" xfId="0" applyNumberFormat="1" applyFont="1" applyAlignment="1">
      <alignment horizontal="center" vertical="center" wrapText="1" readingOrder="2"/>
    </xf>
    <xf numFmtId="0" fontId="5" fillId="0" borderId="0" xfId="0" applyFont="1" applyAlignment="1">
      <alignment horizontal="center" vertical="center" wrapText="1" readingOrder="2"/>
    </xf>
    <xf numFmtId="14" fontId="5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 vertical="top" readingOrder="2"/>
    </xf>
    <xf numFmtId="0" fontId="5" fillId="0" borderId="0" xfId="0" applyFont="1" applyAlignment="1">
      <alignment horizontal="center" vertical="top" readingOrder="2"/>
    </xf>
    <xf numFmtId="0" fontId="4" fillId="0" borderId="0" xfId="0" applyFont="1" applyAlignment="1">
      <alignment horizontal="center" vertical="top" readingOrder="2"/>
    </xf>
    <xf numFmtId="14" fontId="4" fillId="0" borderId="0" xfId="0" applyNumberFormat="1" applyFont="1"/>
    <xf numFmtId="3" fontId="6" fillId="0" borderId="0" xfId="0" applyNumberFormat="1" applyFont="1" applyAlignment="1">
      <alignment horizontal="center" vertical="center"/>
    </xf>
    <xf numFmtId="9" fontId="4" fillId="0" borderId="0" xfId="7" applyFont="1" applyAlignment="1">
      <alignment horizontal="right" vertical="center"/>
    </xf>
    <xf numFmtId="9" fontId="9" fillId="2" borderId="0" xfId="7" applyFont="1" applyFill="1" applyAlignment="1">
      <alignment horizontal="center" vertical="center"/>
    </xf>
    <xf numFmtId="9" fontId="6" fillId="0" borderId="0" xfId="7" applyFont="1" applyFill="1"/>
    <xf numFmtId="9" fontId="6" fillId="0" borderId="0" xfId="7" applyFont="1" applyFill="1" applyAlignment="1">
      <alignment horizontal="right" vertical="center"/>
    </xf>
    <xf numFmtId="0" fontId="9" fillId="2" borderId="0" xfId="0" applyFont="1" applyFill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 readingOrder="2"/>
    </xf>
    <xf numFmtId="0" fontId="4" fillId="0" borderId="0" xfId="0" applyFont="1" applyAlignment="1">
      <alignment horizontal="left" vertical="center" readingOrder="2"/>
    </xf>
    <xf numFmtId="0" fontId="9" fillId="2" borderId="0" xfId="0" applyFont="1" applyFill="1" applyAlignment="1">
      <alignment horizontal="left"/>
    </xf>
    <xf numFmtId="166" fontId="4" fillId="0" borderId="0" xfId="0" applyNumberFormat="1" applyFont="1" applyAlignment="1">
      <alignment horizontal="left" vertical="center"/>
    </xf>
    <xf numFmtId="167" fontId="4" fillId="0" borderId="0" xfId="0" applyNumberFormat="1" applyFont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11" fillId="0" borderId="0" xfId="0" applyFont="1"/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4" fillId="0" borderId="1" xfId="0" applyFont="1" applyBorder="1" applyAlignment="1">
      <alignment horizontal="left" vertical="center"/>
    </xf>
    <xf numFmtId="0" fontId="14" fillId="0" borderId="0" xfId="0" applyFont="1" applyAlignment="1">
      <alignment textRotation="90"/>
    </xf>
    <xf numFmtId="0" fontId="14" fillId="0" borderId="0" xfId="0" applyFont="1"/>
    <xf numFmtId="0" fontId="14" fillId="5" borderId="0" xfId="0" applyFont="1" applyFill="1"/>
    <xf numFmtId="0" fontId="16" fillId="0" borderId="0" xfId="0" applyFont="1" applyAlignment="1">
      <alignment vertical="center"/>
    </xf>
    <xf numFmtId="0" fontId="19" fillId="3" borderId="2" xfId="0" applyFont="1" applyFill="1" applyBorder="1" applyAlignment="1">
      <alignment horizontal="center"/>
    </xf>
    <xf numFmtId="0" fontId="19" fillId="3" borderId="4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center"/>
    </xf>
    <xf numFmtId="0" fontId="19" fillId="3" borderId="9" xfId="0" applyFont="1" applyFill="1" applyBorder="1" applyAlignment="1">
      <alignment horizontal="center"/>
    </xf>
    <xf numFmtId="0" fontId="14" fillId="0" borderId="0" xfId="0" applyFont="1" applyAlignment="1">
      <alignment vertical="center"/>
    </xf>
    <xf numFmtId="0" fontId="19" fillId="3" borderId="10" xfId="0" applyFont="1" applyFill="1" applyBorder="1" applyAlignment="1">
      <alignment horizontal="center"/>
    </xf>
    <xf numFmtId="0" fontId="19" fillId="3" borderId="11" xfId="0" applyFont="1" applyFill="1" applyBorder="1" applyAlignment="1">
      <alignment horizontal="center"/>
    </xf>
    <xf numFmtId="0" fontId="12" fillId="0" borderId="0" xfId="0" applyFont="1"/>
    <xf numFmtId="0" fontId="18" fillId="0" borderId="1" xfId="0" applyFont="1" applyBorder="1" applyAlignment="1">
      <alignment vertical="center"/>
    </xf>
    <xf numFmtId="0" fontId="20" fillId="0" borderId="1" xfId="0" applyFont="1" applyBorder="1"/>
    <xf numFmtId="0" fontId="21" fillId="0" borderId="1" xfId="0" applyFont="1" applyBorder="1"/>
    <xf numFmtId="0" fontId="14" fillId="0" borderId="1" xfId="0" applyFont="1" applyBorder="1"/>
    <xf numFmtId="0" fontId="18" fillId="0" borderId="1" xfId="0" applyFont="1" applyBorder="1"/>
    <xf numFmtId="0" fontId="22" fillId="0" borderId="1" xfId="0" applyFont="1" applyBorder="1"/>
    <xf numFmtId="0" fontId="23" fillId="0" borderId="5" xfId="0" applyFont="1" applyBorder="1"/>
    <xf numFmtId="0" fontId="21" fillId="0" borderId="5" xfId="0" applyFont="1" applyBorder="1"/>
    <xf numFmtId="0" fontId="23" fillId="0" borderId="1" xfId="0" applyFont="1" applyBorder="1"/>
    <xf numFmtId="0" fontId="23" fillId="0" borderId="1" xfId="0" applyFont="1" applyBorder="1" applyAlignment="1">
      <alignment horizontal="center"/>
    </xf>
    <xf numFmtId="0" fontId="18" fillId="0" borderId="5" xfId="0" applyFont="1" applyBorder="1" applyAlignment="1">
      <alignment vertical="center"/>
    </xf>
    <xf numFmtId="0" fontId="14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20" fillId="0" borderId="5" xfId="0" applyFont="1" applyBorder="1"/>
    <xf numFmtId="0" fontId="14" fillId="0" borderId="5" xfId="0" applyFont="1" applyBorder="1" applyAlignment="1">
      <alignment horizontal="center"/>
    </xf>
    <xf numFmtId="0" fontId="18" fillId="0" borderId="5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/>
    </xf>
    <xf numFmtId="0" fontId="14" fillId="0" borderId="5" xfId="0" applyFont="1" applyBorder="1"/>
    <xf numFmtId="0" fontId="22" fillId="0" borderId="13" xfId="0" applyFont="1" applyBorder="1"/>
    <xf numFmtId="0" fontId="14" fillId="0" borderId="13" xfId="0" applyFont="1" applyBorder="1" applyAlignment="1">
      <alignment horizontal="center"/>
    </xf>
    <xf numFmtId="0" fontId="19" fillId="3" borderId="14" xfId="0" applyFont="1" applyFill="1" applyBorder="1" applyAlignment="1">
      <alignment horizontal="center"/>
    </xf>
    <xf numFmtId="0" fontId="23" fillId="0" borderId="13" xfId="0" applyFont="1" applyBorder="1"/>
    <xf numFmtId="0" fontId="22" fillId="0" borderId="13" xfId="0" applyFont="1" applyBorder="1" applyAlignment="1">
      <alignment horizontal="center" vertical="center"/>
    </xf>
    <xf numFmtId="0" fontId="19" fillId="3" borderId="12" xfId="0" applyFont="1" applyFill="1" applyBorder="1" applyAlignment="1">
      <alignment horizontal="center"/>
    </xf>
    <xf numFmtId="0" fontId="14" fillId="0" borderId="13" xfId="0" applyFont="1" applyBorder="1"/>
    <xf numFmtId="0" fontId="18" fillId="0" borderId="13" xfId="0" applyFont="1" applyBorder="1" applyAlignment="1">
      <alignment vertical="center"/>
    </xf>
    <xf numFmtId="0" fontId="18" fillId="0" borderId="13" xfId="0" applyFont="1" applyBorder="1" applyAlignment="1">
      <alignment horizontal="center" vertical="center"/>
    </xf>
    <xf numFmtId="0" fontId="20" fillId="0" borderId="15" xfId="0" applyFont="1" applyBorder="1"/>
    <xf numFmtId="0" fontId="22" fillId="0" borderId="15" xfId="0" applyFont="1" applyBorder="1"/>
    <xf numFmtId="0" fontId="22" fillId="0" borderId="16" xfId="0" applyFont="1" applyBorder="1"/>
    <xf numFmtId="0" fontId="23" fillId="0" borderId="17" xfId="0" applyFont="1" applyBorder="1"/>
    <xf numFmtId="0" fontId="23" fillId="0" borderId="15" xfId="0" applyFont="1" applyBorder="1"/>
    <xf numFmtId="0" fontId="23" fillId="0" borderId="16" xfId="0" applyFont="1" applyBorder="1"/>
    <xf numFmtId="0" fontId="18" fillId="0" borderId="17" xfId="0" applyFont="1" applyBorder="1" applyAlignment="1">
      <alignment vertical="center"/>
    </xf>
    <xf numFmtId="0" fontId="18" fillId="0" borderId="15" xfId="0" applyFont="1" applyBorder="1" applyAlignment="1">
      <alignment vertical="center"/>
    </xf>
    <xf numFmtId="0" fontId="18" fillId="0" borderId="16" xfId="0" applyFont="1" applyBorder="1" applyAlignment="1">
      <alignment vertical="center"/>
    </xf>
    <xf numFmtId="0" fontId="14" fillId="0" borderId="15" xfId="0" applyFont="1" applyBorder="1" applyAlignment="1">
      <alignment horizontal="center"/>
    </xf>
    <xf numFmtId="0" fontId="20" fillId="0" borderId="17" xfId="0" applyFont="1" applyBorder="1"/>
    <xf numFmtId="0" fontId="16" fillId="0" borderId="18" xfId="0" applyFont="1" applyBorder="1" applyAlignment="1">
      <alignment vertical="center" textRotation="90"/>
    </xf>
    <xf numFmtId="0" fontId="16" fillId="0" borderId="23" xfId="0" applyFont="1" applyBorder="1" applyAlignment="1">
      <alignment vertical="center"/>
    </xf>
    <xf numFmtId="0" fontId="23" fillId="0" borderId="24" xfId="0" applyFont="1" applyBorder="1"/>
    <xf numFmtId="167" fontId="9" fillId="2" borderId="0" xfId="0" applyNumberFormat="1" applyFont="1" applyFill="1" applyAlignment="1">
      <alignment horizontal="center" vertical="center"/>
    </xf>
    <xf numFmtId="167" fontId="4" fillId="0" borderId="0" xfId="0" applyNumberFormat="1" applyFont="1" applyAlignment="1">
      <alignment horizontal="center" vertical="center"/>
    </xf>
    <xf numFmtId="167" fontId="4" fillId="0" borderId="0" xfId="0" applyNumberFormat="1" applyFont="1" applyAlignment="1">
      <alignment horizontal="center"/>
    </xf>
    <xf numFmtId="167" fontId="4" fillId="4" borderId="0" xfId="0" applyNumberFormat="1" applyFont="1" applyFill="1" applyAlignment="1">
      <alignment horizontal="center" vertical="center"/>
    </xf>
    <xf numFmtId="14" fontId="0" fillId="0" borderId="0" xfId="0" applyNumberFormat="1"/>
    <xf numFmtId="0" fontId="9" fillId="2" borderId="25" xfId="0" applyFont="1" applyFill="1" applyBorder="1" applyAlignment="1">
      <alignment horizontal="center" vertical="center"/>
    </xf>
    <xf numFmtId="167" fontId="0" fillId="0" borderId="0" xfId="0" applyNumberFormat="1"/>
    <xf numFmtId="0" fontId="26" fillId="0" borderId="0" xfId="0" applyFont="1"/>
    <xf numFmtId="0" fontId="28" fillId="0" borderId="0" xfId="0" applyFont="1"/>
    <xf numFmtId="0" fontId="29" fillId="0" borderId="0" xfId="0" applyFont="1"/>
    <xf numFmtId="0" fontId="30" fillId="2" borderId="0" xfId="0" applyFont="1" applyFill="1" applyAlignment="1">
      <alignment horizontal="centerContinuous"/>
    </xf>
    <xf numFmtId="0" fontId="31" fillId="2" borderId="0" xfId="0" applyFont="1" applyFill="1" applyAlignment="1">
      <alignment horizontal="centerContinuous"/>
    </xf>
    <xf numFmtId="0" fontId="33" fillId="5" borderId="0" xfId="0" applyFont="1" applyFill="1"/>
    <xf numFmtId="0" fontId="34" fillId="5" borderId="0" xfId="0" applyFont="1" applyFill="1"/>
    <xf numFmtId="169" fontId="27" fillId="6" borderId="0" xfId="0" applyNumberFormat="1" applyFont="1" applyFill="1" applyAlignment="1">
      <alignment horizontal="center"/>
    </xf>
    <xf numFmtId="9" fontId="27" fillId="6" borderId="0" xfId="7" applyFont="1" applyFill="1" applyAlignment="1">
      <alignment horizontal="center"/>
    </xf>
    <xf numFmtId="14" fontId="27" fillId="6" borderId="0" xfId="0" applyNumberFormat="1" applyFont="1" applyFill="1" applyAlignment="1" applyProtection="1">
      <alignment horizontal="center"/>
      <protection locked="0"/>
    </xf>
    <xf numFmtId="0" fontId="27" fillId="6" borderId="0" xfId="0" applyFont="1" applyFill="1" applyProtection="1">
      <protection locked="0"/>
    </xf>
    <xf numFmtId="0" fontId="27" fillId="6" borderId="0" xfId="0" applyFont="1" applyFill="1" applyAlignment="1" applyProtection="1">
      <alignment horizontal="center"/>
      <protection locked="0"/>
    </xf>
    <xf numFmtId="3" fontId="27" fillId="6" borderId="0" xfId="0" applyNumberFormat="1" applyFont="1" applyFill="1" applyAlignment="1" applyProtection="1">
      <alignment horizontal="center"/>
      <protection locked="0"/>
    </xf>
    <xf numFmtId="169" fontId="27" fillId="6" borderId="0" xfId="0" applyNumberFormat="1" applyFont="1" applyFill="1" applyAlignment="1" applyProtection="1">
      <alignment horizontal="center"/>
      <protection locked="0"/>
    </xf>
    <xf numFmtId="0" fontId="0" fillId="7" borderId="0" xfId="0" applyFill="1"/>
    <xf numFmtId="167" fontId="9" fillId="2" borderId="26" xfId="0" applyNumberFormat="1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horizontal="left"/>
    </xf>
    <xf numFmtId="0" fontId="9" fillId="2" borderId="27" xfId="0" applyFont="1" applyFill="1" applyBorder="1" applyAlignment="1">
      <alignment horizontal="left" vertical="center"/>
    </xf>
    <xf numFmtId="14" fontId="9" fillId="2" borderId="27" xfId="0" applyNumberFormat="1" applyFont="1" applyFill="1" applyBorder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3" fontId="9" fillId="2" borderId="27" xfId="0" applyNumberFormat="1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horizontal="center" vertical="center"/>
    </xf>
    <xf numFmtId="165" fontId="9" fillId="2" borderId="27" xfId="6" applyNumberFormat="1" applyFont="1" applyFill="1" applyBorder="1" applyAlignment="1">
      <alignment horizontal="center" vertical="center"/>
    </xf>
    <xf numFmtId="9" fontId="9" fillId="2" borderId="27" xfId="7" applyFont="1" applyFill="1" applyBorder="1" applyAlignment="1">
      <alignment horizontal="center" vertical="center"/>
    </xf>
    <xf numFmtId="169" fontId="0" fillId="7" borderId="0" xfId="0" applyNumberFormat="1" applyFill="1"/>
    <xf numFmtId="9" fontId="0" fillId="7" borderId="0" xfId="0" applyNumberFormat="1" applyFill="1"/>
    <xf numFmtId="0" fontId="0" fillId="0" borderId="0" xfId="0" applyAlignment="1">
      <alignment vertical="center"/>
    </xf>
    <xf numFmtId="165" fontId="9" fillId="0" borderId="27" xfId="6" applyNumberFormat="1" applyFont="1" applyFill="1" applyBorder="1" applyAlignment="1">
      <alignment horizontal="center" vertical="center"/>
    </xf>
    <xf numFmtId="169" fontId="0" fillId="0" borderId="0" xfId="0" applyNumberFormat="1"/>
    <xf numFmtId="0" fontId="0" fillId="2" borderId="0" xfId="0" applyFill="1" applyAlignment="1">
      <alignment horizontal="centerContinuous"/>
    </xf>
    <xf numFmtId="0" fontId="4" fillId="0" borderId="0" xfId="0" applyFont="1" applyAlignment="1" applyProtection="1">
      <alignment horizontal="left" vertical="center"/>
      <protection locked="0"/>
    </xf>
    <xf numFmtId="9" fontId="0" fillId="0" borderId="0" xfId="0" applyNumberFormat="1"/>
    <xf numFmtId="14" fontId="27" fillId="6" borderId="0" xfId="0" applyNumberFormat="1" applyFont="1" applyFill="1" applyProtection="1">
      <protection locked="0"/>
    </xf>
    <xf numFmtId="9" fontId="9" fillId="0" borderId="0" xfId="7" applyFont="1" applyFill="1" applyBorder="1" applyAlignment="1">
      <alignment horizontal="center" vertical="center"/>
    </xf>
    <xf numFmtId="167" fontId="9" fillId="6" borderId="26" xfId="0" applyNumberFormat="1" applyFont="1" applyFill="1" applyBorder="1" applyAlignment="1" applyProtection="1">
      <alignment horizontal="center" vertical="center"/>
      <protection locked="0"/>
    </xf>
    <xf numFmtId="0" fontId="9" fillId="6" borderId="27" xfId="0" applyFont="1" applyFill="1" applyBorder="1" applyAlignment="1" applyProtection="1">
      <alignment horizontal="left"/>
      <protection locked="0"/>
    </xf>
    <xf numFmtId="0" fontId="9" fillId="6" borderId="27" xfId="0" applyFont="1" applyFill="1" applyBorder="1" applyAlignment="1" applyProtection="1">
      <alignment horizontal="left" vertical="center"/>
      <protection locked="0"/>
    </xf>
    <xf numFmtId="14" fontId="9" fillId="6" borderId="27" xfId="0" applyNumberFormat="1" applyFont="1" applyFill="1" applyBorder="1" applyAlignment="1" applyProtection="1">
      <alignment horizontal="center" vertical="center"/>
      <protection locked="0"/>
    </xf>
    <xf numFmtId="167" fontId="4" fillId="0" borderId="0" xfId="0" applyNumberFormat="1" applyFont="1" applyAlignment="1" applyProtection="1">
      <alignment horizontal="center" vertical="center"/>
      <protection locked="0"/>
    </xf>
    <xf numFmtId="167" fontId="4" fillId="0" borderId="0" xfId="0" applyNumberFormat="1" applyFont="1" applyAlignment="1" applyProtection="1">
      <alignment horizontal="left" vertical="center"/>
      <protection locked="0"/>
    </xf>
    <xf numFmtId="14" fontId="4" fillId="0" borderId="0" xfId="0" applyNumberFormat="1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4" fillId="0" borderId="27" xfId="0" applyFont="1" applyBorder="1" applyAlignment="1" applyProtection="1">
      <alignment horizontal="left"/>
      <protection locked="0"/>
    </xf>
    <xf numFmtId="0" fontId="4" fillId="0" borderId="27" xfId="0" applyFont="1" applyBorder="1" applyAlignment="1" applyProtection="1">
      <alignment horizontal="left" vertical="center"/>
      <protection locked="0"/>
    </xf>
    <xf numFmtId="14" fontId="4" fillId="0" borderId="27" xfId="0" applyNumberFormat="1" applyFont="1" applyBorder="1" applyAlignment="1" applyProtection="1">
      <alignment horizontal="center" vertical="center"/>
      <protection locked="0"/>
    </xf>
    <xf numFmtId="0" fontId="6" fillId="0" borderId="0" xfId="0" applyFont="1" applyProtection="1">
      <protection locked="0"/>
    </xf>
    <xf numFmtId="14" fontId="6" fillId="0" borderId="0" xfId="0" applyNumberFormat="1" applyFont="1" applyProtection="1">
      <protection locked="0"/>
    </xf>
    <xf numFmtId="167" fontId="9" fillId="2" borderId="0" xfId="0" applyNumberFormat="1" applyFont="1" applyFill="1" applyAlignment="1" applyProtection="1">
      <alignment horizontal="center" vertical="center"/>
      <protection locked="0"/>
    </xf>
    <xf numFmtId="0" fontId="9" fillId="2" borderId="0" xfId="0" applyFont="1" applyFill="1" applyAlignment="1" applyProtection="1">
      <alignment horizontal="left"/>
      <protection locked="0"/>
    </xf>
    <xf numFmtId="0" fontId="9" fillId="2" borderId="0" xfId="0" applyFont="1" applyFill="1" applyAlignment="1" applyProtection="1">
      <alignment horizontal="left" vertical="center"/>
      <protection locked="0"/>
    </xf>
    <xf numFmtId="14" fontId="9" fillId="2" borderId="0" xfId="0" applyNumberFormat="1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3" fontId="9" fillId="2" borderId="0" xfId="0" applyNumberFormat="1" applyFont="1" applyFill="1" applyAlignment="1" applyProtection="1">
      <alignment horizontal="center" vertical="center"/>
      <protection locked="0"/>
    </xf>
    <xf numFmtId="0" fontId="9" fillId="2" borderId="0" xfId="0" applyFont="1" applyFill="1" applyAlignment="1" applyProtection="1">
      <alignment horizontal="center" vertical="center"/>
      <protection locked="0"/>
    </xf>
    <xf numFmtId="165" fontId="9" fillId="2" borderId="0" xfId="6" applyNumberFormat="1" applyFont="1" applyFill="1" applyAlignment="1" applyProtection="1">
      <alignment horizontal="center" vertical="center"/>
      <protection locked="0"/>
    </xf>
    <xf numFmtId="9" fontId="9" fillId="2" borderId="0" xfId="7" applyFont="1" applyFill="1" applyAlignment="1" applyProtection="1">
      <alignment horizontal="center" vertical="center"/>
      <protection locked="0"/>
    </xf>
    <xf numFmtId="14" fontId="4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3" fontId="4" fillId="0" borderId="0" xfId="0" applyNumberFormat="1" applyFont="1" applyAlignment="1" applyProtection="1">
      <alignment horizontal="center"/>
      <protection locked="0"/>
    </xf>
    <xf numFmtId="3" fontId="6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4" fillId="0" borderId="0" xfId="6" applyNumberFormat="1" applyFont="1" applyFill="1" applyProtection="1">
      <protection locked="0"/>
    </xf>
    <xf numFmtId="9" fontId="6" fillId="0" borderId="0" xfId="7" applyFont="1" applyFill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9" fontId="6" fillId="0" borderId="0" xfId="7" applyFont="1" applyFill="1" applyProtection="1">
      <protection locked="0"/>
    </xf>
    <xf numFmtId="0" fontId="5" fillId="0" borderId="0" xfId="0" applyFont="1" applyAlignment="1" applyProtection="1">
      <alignment horizontal="center" vertical="center"/>
      <protection locked="0"/>
    </xf>
    <xf numFmtId="3" fontId="4" fillId="0" borderId="0" xfId="0" applyNumberFormat="1" applyFont="1" applyAlignment="1" applyProtection="1">
      <alignment horizontal="center" vertical="center"/>
      <protection locked="0"/>
    </xf>
    <xf numFmtId="9" fontId="6" fillId="0" borderId="0" xfId="7" applyFont="1" applyFill="1" applyAlignment="1" applyProtection="1">
      <alignment horizontal="right" vertical="center"/>
      <protection locked="0"/>
    </xf>
    <xf numFmtId="165" fontId="4" fillId="0" borderId="0" xfId="6" applyNumberFormat="1" applyFont="1" applyFill="1" applyAlignment="1" applyProtection="1">
      <alignment horizontal="right" vertical="center"/>
      <protection locked="0"/>
    </xf>
    <xf numFmtId="0" fontId="4" fillId="3" borderId="0" xfId="0" applyFont="1" applyFill="1" applyAlignment="1" applyProtection="1">
      <alignment horizontal="left" vertical="center"/>
      <protection locked="0"/>
    </xf>
    <xf numFmtId="0" fontId="4" fillId="0" borderId="0" xfId="0" applyFont="1" applyAlignment="1" applyProtection="1">
      <alignment horizontal="left" vertical="center" wrapText="1"/>
      <protection locked="0"/>
    </xf>
    <xf numFmtId="14" fontId="4" fillId="0" borderId="0" xfId="0" applyNumberFormat="1" applyFont="1" applyAlignment="1" applyProtection="1">
      <alignment horizontal="center" vertical="top" wrapText="1"/>
      <protection locked="0"/>
    </xf>
    <xf numFmtId="0" fontId="5" fillId="0" borderId="0" xfId="0" applyFont="1" applyAlignment="1" applyProtection="1">
      <alignment horizontal="center" vertical="top" wrapText="1"/>
      <protection locked="0"/>
    </xf>
    <xf numFmtId="3" fontId="6" fillId="0" borderId="0" xfId="0" applyNumberFormat="1" applyFont="1" applyProtection="1">
      <protection locked="0"/>
    </xf>
    <xf numFmtId="0" fontId="4" fillId="0" borderId="0" xfId="0" applyFont="1" applyAlignment="1" applyProtection="1">
      <alignment horizontal="center" vertical="top" wrapText="1"/>
      <protection locked="0"/>
    </xf>
    <xf numFmtId="165" fontId="4" fillId="0" borderId="0" xfId="6" applyNumberFormat="1" applyFont="1" applyFill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left" vertical="center" wrapText="1" readingOrder="2"/>
      <protection locked="0"/>
    </xf>
    <xf numFmtId="14" fontId="4" fillId="0" borderId="0" xfId="0" applyNumberFormat="1" applyFont="1" applyAlignment="1" applyProtection="1">
      <alignment horizontal="center" vertical="center" wrapText="1" readingOrder="2"/>
      <protection locked="0"/>
    </xf>
    <xf numFmtId="0" fontId="5" fillId="0" borderId="0" xfId="0" applyFont="1" applyAlignment="1" applyProtection="1">
      <alignment horizontal="center" vertical="center" wrapText="1" readingOrder="2"/>
      <protection locked="0"/>
    </xf>
    <xf numFmtId="3" fontId="4" fillId="0" borderId="0" xfId="0" applyNumberFormat="1" applyFont="1" applyProtection="1">
      <protection locked="0"/>
    </xf>
    <xf numFmtId="14" fontId="4" fillId="0" borderId="0" xfId="0" applyNumberFormat="1" applyFont="1" applyAlignment="1" applyProtection="1">
      <alignment horizontal="center" vertical="top" wrapText="1" readingOrder="2"/>
      <protection locked="0"/>
    </xf>
    <xf numFmtId="0" fontId="5" fillId="0" borderId="0" xfId="0" applyFont="1" applyAlignment="1" applyProtection="1">
      <alignment horizontal="center" vertical="top" wrapText="1" readingOrder="2"/>
      <protection locked="0"/>
    </xf>
    <xf numFmtId="0" fontId="4" fillId="0" borderId="0" xfId="0" applyFont="1" applyAlignment="1" applyProtection="1">
      <alignment horizontal="center" vertical="top" wrapText="1" readingOrder="2"/>
      <protection locked="0"/>
    </xf>
    <xf numFmtId="9" fontId="4" fillId="0" borderId="0" xfId="7" applyFont="1" applyFill="1" applyAlignment="1" applyProtection="1">
      <alignment horizontal="right" vertical="center"/>
      <protection locked="0"/>
    </xf>
    <xf numFmtId="14" fontId="4" fillId="0" borderId="0" xfId="0" applyNumberFormat="1" applyFont="1" applyAlignment="1" applyProtection="1">
      <alignment horizontal="center" vertical="top"/>
      <protection locked="0"/>
    </xf>
    <xf numFmtId="0" fontId="5" fillId="0" borderId="0" xfId="0" applyFont="1" applyAlignment="1" applyProtection="1">
      <alignment horizontal="center" vertical="top"/>
      <protection locked="0"/>
    </xf>
    <xf numFmtId="0" fontId="4" fillId="0" borderId="0" xfId="0" applyFont="1" applyAlignment="1" applyProtection="1">
      <alignment horizontal="center" vertical="top"/>
      <protection locked="0"/>
    </xf>
    <xf numFmtId="14" fontId="5" fillId="0" borderId="0" xfId="0" applyNumberFormat="1" applyFont="1" applyAlignment="1" applyProtection="1">
      <alignment horizontal="center" vertical="center"/>
      <protection locked="0"/>
    </xf>
    <xf numFmtId="3" fontId="6" fillId="0" borderId="0" xfId="0" applyNumberFormat="1" applyFont="1" applyAlignment="1" applyProtection="1">
      <alignment horizontal="center" vertical="center"/>
      <protection locked="0"/>
    </xf>
    <xf numFmtId="14" fontId="4" fillId="0" borderId="0" xfId="0" applyNumberFormat="1" applyFont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166" fontId="4" fillId="0" borderId="0" xfId="0" applyNumberFormat="1" applyFont="1" applyAlignment="1" applyProtection="1">
      <alignment horizontal="left" vertical="center"/>
      <protection locked="0"/>
    </xf>
    <xf numFmtId="165" fontId="4" fillId="0" borderId="0" xfId="6" applyNumberFormat="1" applyFont="1" applyAlignment="1" applyProtection="1">
      <alignment horizontal="right" vertical="center"/>
      <protection locked="0"/>
    </xf>
    <xf numFmtId="9" fontId="4" fillId="0" borderId="0" xfId="7" applyFont="1" applyAlignment="1" applyProtection="1">
      <alignment horizontal="right" vertical="center"/>
      <protection locked="0"/>
    </xf>
    <xf numFmtId="165" fontId="4" fillId="0" borderId="0" xfId="6" applyNumberFormat="1" applyFont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left" vertical="center" readingOrder="2"/>
      <protection locked="0"/>
    </xf>
    <xf numFmtId="14" fontId="4" fillId="0" borderId="0" xfId="0" applyNumberFormat="1" applyFont="1" applyAlignment="1" applyProtection="1">
      <alignment horizontal="center" vertical="top" readingOrder="2"/>
      <protection locked="0"/>
    </xf>
    <xf numFmtId="0" fontId="5" fillId="0" borderId="0" xfId="0" applyFont="1" applyAlignment="1" applyProtection="1">
      <alignment horizontal="center" vertical="top" readingOrder="2"/>
      <protection locked="0"/>
    </xf>
    <xf numFmtId="9" fontId="4" fillId="0" borderId="0" xfId="7" applyFont="1" applyFill="1" applyProtection="1">
      <protection locked="0"/>
    </xf>
    <xf numFmtId="165" fontId="4" fillId="0" borderId="0" xfId="6" applyNumberFormat="1" applyFont="1" applyFill="1" applyAlignment="1" applyProtection="1">
      <alignment horizontal="center" vertical="center"/>
      <protection locked="0"/>
    </xf>
    <xf numFmtId="3" fontId="11" fillId="0" borderId="0" xfId="0" applyNumberFormat="1" applyFont="1"/>
    <xf numFmtId="167" fontId="4" fillId="0" borderId="26" xfId="0" applyNumberFormat="1" applyFont="1" applyBorder="1" applyAlignment="1">
      <alignment horizontal="center" vertical="center"/>
    </xf>
    <xf numFmtId="0" fontId="40" fillId="9" borderId="0" xfId="0" applyFont="1" applyFill="1" applyAlignment="1">
      <alignment horizontal="center" vertical="center"/>
    </xf>
    <xf numFmtId="14" fontId="40" fillId="9" borderId="0" xfId="0" applyNumberFormat="1" applyFont="1" applyFill="1" applyAlignment="1">
      <alignment horizontal="center" vertical="center"/>
    </xf>
    <xf numFmtId="169" fontId="40" fillId="9" borderId="0" xfId="0" applyNumberFormat="1" applyFont="1" applyFill="1" applyAlignment="1">
      <alignment horizontal="center" vertical="center"/>
    </xf>
    <xf numFmtId="0" fontId="41" fillId="0" borderId="0" xfId="0" applyFont="1"/>
    <xf numFmtId="169" fontId="41" fillId="0" borderId="0" xfId="0" applyNumberFormat="1" applyFont="1"/>
    <xf numFmtId="14" fontId="41" fillId="0" borderId="0" xfId="0" applyNumberFormat="1" applyFont="1"/>
    <xf numFmtId="14" fontId="41" fillId="0" borderId="0" xfId="0" applyNumberFormat="1" applyFont="1" applyAlignment="1">
      <alignment horizontal="center"/>
    </xf>
    <xf numFmtId="0" fontId="41" fillId="0" borderId="0" xfId="0" applyFont="1" applyAlignment="1">
      <alignment horizontal="center"/>
    </xf>
    <xf numFmtId="0" fontId="41" fillId="0" borderId="0" xfId="0" applyFont="1" applyAlignment="1">
      <alignment horizontal="left" vertical="center"/>
    </xf>
    <xf numFmtId="0" fontId="43" fillId="0" borderId="0" xfId="0" applyFont="1"/>
    <xf numFmtId="0" fontId="44" fillId="0" borderId="0" xfId="0" applyFont="1"/>
    <xf numFmtId="165" fontId="9" fillId="0" borderId="27" xfId="6" applyNumberFormat="1" applyFont="1" applyFill="1" applyBorder="1" applyAlignment="1" applyProtection="1">
      <alignment horizontal="center" vertical="center"/>
    </xf>
    <xf numFmtId="9" fontId="9" fillId="0" borderId="0" xfId="7" applyFont="1" applyFill="1" applyBorder="1" applyAlignment="1" applyProtection="1">
      <alignment horizontal="center" vertical="center"/>
    </xf>
    <xf numFmtId="168" fontId="36" fillId="8" borderId="32" xfId="6" applyNumberFormat="1" applyFont="1" applyFill="1" applyBorder="1" applyProtection="1"/>
    <xf numFmtId="9" fontId="36" fillId="8" borderId="32" xfId="7" applyFont="1" applyFill="1" applyBorder="1" applyProtection="1"/>
    <xf numFmtId="168" fontId="32" fillId="8" borderId="32" xfId="6" applyNumberFormat="1" applyFont="1" applyFill="1" applyBorder="1" applyProtection="1"/>
    <xf numFmtId="165" fontId="4" fillId="0" borderId="0" xfId="6" applyNumberFormat="1" applyFont="1" applyFill="1" applyProtection="1"/>
    <xf numFmtId="9" fontId="6" fillId="0" borderId="0" xfId="7" applyFont="1" applyFill="1" applyAlignment="1" applyProtection="1">
      <alignment horizontal="right" vertical="center"/>
    </xf>
    <xf numFmtId="165" fontId="4" fillId="0" borderId="0" xfId="6" applyNumberFormat="1" applyFont="1" applyFill="1" applyAlignment="1" applyProtection="1">
      <alignment horizontal="right" vertical="center"/>
    </xf>
    <xf numFmtId="9" fontId="6" fillId="0" borderId="0" xfId="7" applyFont="1" applyFill="1" applyProtection="1"/>
    <xf numFmtId="167" fontId="9" fillId="6" borderId="26" xfId="0" applyNumberFormat="1" applyFont="1" applyFill="1" applyBorder="1" applyAlignment="1">
      <alignment horizontal="center" vertical="center"/>
    </xf>
    <xf numFmtId="168" fontId="4" fillId="0" borderId="0" xfId="6" applyNumberFormat="1" applyFont="1" applyAlignment="1" applyProtection="1">
      <alignment horizontal="left" vertical="center"/>
    </xf>
    <xf numFmtId="169" fontId="11" fillId="0" borderId="0" xfId="0" applyNumberFormat="1" applyFont="1"/>
    <xf numFmtId="1" fontId="11" fillId="0" borderId="0" xfId="0" applyNumberFormat="1" applyFont="1"/>
    <xf numFmtId="9" fontId="6" fillId="0" borderId="0" xfId="7" applyFont="1" applyFill="1" applyBorder="1" applyAlignment="1" applyProtection="1">
      <alignment horizontal="center"/>
    </xf>
    <xf numFmtId="165" fontId="4" fillId="0" borderId="0" xfId="6" applyNumberFormat="1" applyFont="1" applyFill="1" applyBorder="1" applyAlignment="1" applyProtection="1">
      <alignment horizontal="center"/>
    </xf>
    <xf numFmtId="9" fontId="4" fillId="0" borderId="0" xfId="7" applyFont="1" applyFill="1" applyAlignment="1" applyProtection="1">
      <alignment horizontal="right" vertical="center"/>
    </xf>
    <xf numFmtId="0" fontId="2" fillId="0" borderId="0" xfId="8" applyFill="1" applyProtection="1"/>
    <xf numFmtId="165" fontId="4" fillId="0" borderId="0" xfId="6" applyNumberFormat="1" applyFont="1" applyAlignment="1" applyProtection="1">
      <alignment horizontal="right" vertical="center"/>
    </xf>
    <xf numFmtId="9" fontId="4" fillId="0" borderId="0" xfId="7" applyFont="1" applyAlignment="1" applyProtection="1">
      <alignment horizontal="right" vertical="center"/>
    </xf>
    <xf numFmtId="165" fontId="4" fillId="0" borderId="0" xfId="6" applyNumberFormat="1" applyFont="1" applyAlignment="1" applyProtection="1">
      <alignment horizontal="center" vertical="center"/>
    </xf>
    <xf numFmtId="9" fontId="4" fillId="0" borderId="0" xfId="7" applyFont="1" applyFill="1" applyProtection="1"/>
    <xf numFmtId="165" fontId="4" fillId="0" borderId="0" xfId="6" applyNumberFormat="1" applyFont="1" applyFill="1" applyAlignment="1" applyProtection="1">
      <alignment horizontal="center" vertical="center"/>
    </xf>
    <xf numFmtId="0" fontId="35" fillId="6" borderId="0" xfId="0" applyFont="1" applyFill="1" applyAlignment="1" applyProtection="1">
      <alignment horizontal="left" vertical="center"/>
      <protection locked="0"/>
    </xf>
    <xf numFmtId="0" fontId="0" fillId="8" borderId="28" xfId="0" applyFill="1" applyBorder="1"/>
    <xf numFmtId="0" fontId="0" fillId="8" borderId="29" xfId="0" applyFill="1" applyBorder="1"/>
    <xf numFmtId="0" fontId="0" fillId="8" borderId="30" xfId="0" applyFill="1" applyBorder="1"/>
    <xf numFmtId="0" fontId="33" fillId="5" borderId="0" xfId="0" applyFont="1" applyFill="1" applyAlignment="1">
      <alignment horizontal="left" indent="2"/>
    </xf>
    <xf numFmtId="0" fontId="27" fillId="6" borderId="0" xfId="0" applyFont="1" applyFill="1"/>
    <xf numFmtId="0" fontId="0" fillId="8" borderId="31" xfId="0" applyFill="1" applyBorder="1"/>
    <xf numFmtId="0" fontId="33" fillId="8" borderId="0" xfId="0" applyFont="1" applyFill="1" applyAlignment="1">
      <alignment horizontal="left" indent="2"/>
    </xf>
    <xf numFmtId="0" fontId="0" fillId="0" borderId="0" xfId="0" applyAlignment="1">
      <alignment horizontal="left" indent="2"/>
    </xf>
    <xf numFmtId="0" fontId="0" fillId="8" borderId="0" xfId="0" applyFill="1"/>
    <xf numFmtId="0" fontId="37" fillId="8" borderId="32" xfId="0" applyFont="1" applyFill="1" applyBorder="1"/>
    <xf numFmtId="0" fontId="0" fillId="8" borderId="32" xfId="0" applyFill="1" applyBorder="1"/>
    <xf numFmtId="0" fontId="0" fillId="8" borderId="33" xfId="0" applyFill="1" applyBorder="1"/>
    <xf numFmtId="0" fontId="0" fillId="8" borderId="34" xfId="0" applyFill="1" applyBorder="1"/>
    <xf numFmtId="0" fontId="0" fillId="8" borderId="35" xfId="0" applyFill="1" applyBorder="1"/>
    <xf numFmtId="0" fontId="9" fillId="6" borderId="27" xfId="0" applyFont="1" applyFill="1" applyBorder="1" applyAlignment="1">
      <alignment horizontal="left"/>
    </xf>
    <xf numFmtId="0" fontId="9" fillId="6" borderId="27" xfId="0" applyFont="1" applyFill="1" applyBorder="1" applyAlignment="1">
      <alignment horizontal="left" vertical="center"/>
    </xf>
    <xf numFmtId="0" fontId="9" fillId="6" borderId="0" xfId="0" applyFont="1" applyFill="1" applyAlignment="1">
      <alignment horizontal="left" vertical="center"/>
    </xf>
    <xf numFmtId="0" fontId="9" fillId="6" borderId="0" xfId="0" applyFont="1" applyFill="1" applyAlignment="1">
      <alignment horizontal="right" vertical="center"/>
    </xf>
    <xf numFmtId="0" fontId="45" fillId="0" borderId="0" xfId="0" applyFont="1"/>
    <xf numFmtId="0" fontId="33" fillId="0" borderId="0" xfId="0" applyFont="1"/>
    <xf numFmtId="0" fontId="40" fillId="9" borderId="27" xfId="0" applyFont="1" applyFill="1" applyBorder="1" applyAlignment="1">
      <alignment horizontal="center" vertical="center"/>
    </xf>
    <xf numFmtId="0" fontId="46" fillId="8" borderId="0" xfId="0" applyFont="1" applyFill="1" applyAlignment="1">
      <alignment horizontal="centerContinuous"/>
    </xf>
    <xf numFmtId="0" fontId="0" fillId="8" borderId="0" xfId="0" applyFill="1" applyAlignment="1">
      <alignment horizontal="centerContinuous"/>
    </xf>
    <xf numFmtId="0" fontId="46" fillId="8" borderId="0" xfId="0" applyFont="1" applyFill="1"/>
    <xf numFmtId="0" fontId="28" fillId="8" borderId="0" xfId="0" applyFont="1" applyFill="1"/>
    <xf numFmtId="0" fontId="29" fillId="8" borderId="0" xfId="0" applyFont="1" applyFill="1"/>
    <xf numFmtId="0" fontId="47" fillId="8" borderId="0" xfId="0" applyFont="1" applyFill="1"/>
    <xf numFmtId="0" fontId="26" fillId="8" borderId="0" xfId="0" applyFont="1" applyFill="1"/>
    <xf numFmtId="14" fontId="27" fillId="10" borderId="0" xfId="0" applyNumberFormat="1" applyFont="1" applyFill="1" applyAlignment="1" applyProtection="1">
      <alignment horizontal="center"/>
      <protection locked="0"/>
    </xf>
    <xf numFmtId="0" fontId="40" fillId="9" borderId="26" xfId="0" applyFont="1" applyFill="1" applyBorder="1" applyAlignment="1">
      <alignment horizontal="center" vertical="center"/>
    </xf>
    <xf numFmtId="14" fontId="40" fillId="9" borderId="27" xfId="0" applyNumberFormat="1" applyFont="1" applyFill="1" applyBorder="1" applyAlignment="1">
      <alignment horizontal="center" vertical="center"/>
    </xf>
    <xf numFmtId="169" fontId="40" fillId="9" borderId="27" xfId="0" applyNumberFormat="1" applyFont="1" applyFill="1" applyBorder="1" applyAlignment="1">
      <alignment horizontal="center" vertical="center"/>
    </xf>
    <xf numFmtId="14" fontId="48" fillId="11" borderId="0" xfId="0" applyNumberFormat="1" applyFont="1" applyFill="1" applyAlignment="1" applyProtection="1">
      <alignment horizontal="center"/>
      <protection locked="0"/>
    </xf>
    <xf numFmtId="14" fontId="27" fillId="11" borderId="0" xfId="0" applyNumberFormat="1" applyFont="1" applyFill="1" applyAlignment="1" applyProtection="1">
      <alignment horizontal="center"/>
      <protection locked="0"/>
    </xf>
    <xf numFmtId="1" fontId="41" fillId="0" borderId="26" xfId="0" applyNumberFormat="1" applyFont="1" applyBorder="1" applyAlignment="1" applyProtection="1">
      <alignment horizontal="center"/>
      <protection locked="0"/>
    </xf>
    <xf numFmtId="1" fontId="41" fillId="0" borderId="27" xfId="0" applyNumberFormat="1" applyFont="1" applyBorder="1" applyAlignment="1" applyProtection="1">
      <alignment horizontal="center"/>
      <protection locked="0"/>
    </xf>
    <xf numFmtId="14" fontId="42" fillId="0" borderId="27" xfId="0" applyNumberFormat="1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left" vertical="center"/>
      <protection locked="0"/>
    </xf>
    <xf numFmtId="167" fontId="4" fillId="0" borderId="27" xfId="0" applyNumberFormat="1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169" fontId="42" fillId="0" borderId="27" xfId="0" applyNumberFormat="1" applyFont="1" applyBorder="1" applyAlignment="1" applyProtection="1">
      <alignment horizontal="center" vertical="center"/>
      <protection locked="0"/>
    </xf>
    <xf numFmtId="1" fontId="27" fillId="6" borderId="0" xfId="0" applyNumberFormat="1" applyFont="1" applyFill="1" applyAlignment="1">
      <alignment horizontal="center" vertical="center"/>
    </xf>
    <xf numFmtId="0" fontId="0" fillId="5" borderId="0" xfId="0" applyFill="1" applyProtection="1">
      <protection locked="0"/>
    </xf>
    <xf numFmtId="0" fontId="0" fillId="5" borderId="0" xfId="0" applyFill="1"/>
    <xf numFmtId="0" fontId="0" fillId="12" borderId="0" xfId="0" applyFill="1" applyProtection="1">
      <protection locked="0"/>
    </xf>
    <xf numFmtId="169" fontId="0" fillId="5" borderId="0" xfId="0" applyNumberFormat="1" applyFill="1" applyProtection="1">
      <protection locked="0"/>
    </xf>
    <xf numFmtId="9" fontId="0" fillId="5" borderId="0" xfId="0" applyNumberFormat="1" applyFill="1" applyProtection="1">
      <protection locked="0"/>
    </xf>
    <xf numFmtId="14" fontId="27" fillId="11" borderId="0" xfId="0" applyNumberFormat="1" applyFont="1" applyFill="1" applyAlignment="1">
      <alignment horizontal="center"/>
    </xf>
    <xf numFmtId="49" fontId="27" fillId="11" borderId="0" xfId="0" applyNumberFormat="1" applyFont="1" applyFill="1" applyAlignment="1" applyProtection="1">
      <alignment horizontal="center"/>
      <protection locked="0"/>
    </xf>
    <xf numFmtId="49" fontId="27" fillId="10" borderId="0" xfId="0" applyNumberFormat="1" applyFont="1" applyFill="1" applyAlignment="1" applyProtection="1">
      <alignment horizontal="center"/>
      <protection locked="0"/>
    </xf>
    <xf numFmtId="1" fontId="41" fillId="0" borderId="12" xfId="0" applyNumberFormat="1" applyFont="1" applyBorder="1" applyAlignment="1">
      <alignment horizontal="center"/>
    </xf>
    <xf numFmtId="14" fontId="42" fillId="0" borderId="12" xfId="0" applyNumberFormat="1" applyFont="1" applyBorder="1" applyAlignment="1">
      <alignment horizontal="center" vertical="center"/>
    </xf>
    <xf numFmtId="0" fontId="42" fillId="0" borderId="12" xfId="0" applyFont="1" applyBorder="1" applyAlignment="1">
      <alignment horizontal="center" vertical="center"/>
    </xf>
    <xf numFmtId="169" fontId="42" fillId="0" borderId="12" xfId="0" applyNumberFormat="1" applyFont="1" applyBorder="1" applyAlignment="1">
      <alignment horizontal="center" vertical="center"/>
    </xf>
    <xf numFmtId="1" fontId="41" fillId="0" borderId="2" xfId="0" applyNumberFormat="1" applyFont="1" applyBorder="1" applyAlignment="1">
      <alignment horizontal="center"/>
    </xf>
    <xf numFmtId="14" fontId="42" fillId="0" borderId="2" xfId="0" applyNumberFormat="1" applyFont="1" applyBorder="1" applyAlignment="1">
      <alignment horizontal="center" vertical="center"/>
    </xf>
    <xf numFmtId="0" fontId="42" fillId="0" borderId="2" xfId="0" applyFont="1" applyBorder="1" applyAlignment="1">
      <alignment horizontal="center" vertical="center"/>
    </xf>
    <xf numFmtId="169" fontId="42" fillId="0" borderId="2" xfId="0" applyNumberFormat="1" applyFont="1" applyBorder="1" applyAlignment="1">
      <alignment horizontal="center" vertical="center"/>
    </xf>
    <xf numFmtId="1" fontId="41" fillId="0" borderId="2" xfId="0" applyNumberFormat="1" applyFont="1" applyBorder="1" applyAlignment="1">
      <alignment horizontal="center" vertical="center"/>
    </xf>
    <xf numFmtId="0" fontId="41" fillId="0" borderId="2" xfId="0" applyFont="1" applyBorder="1" applyAlignment="1">
      <alignment horizontal="center" vertical="center"/>
    </xf>
    <xf numFmtId="167" fontId="49" fillId="0" borderId="12" xfId="0" applyNumberFormat="1" applyFont="1" applyBorder="1" applyAlignment="1">
      <alignment horizontal="center" vertical="center"/>
    </xf>
    <xf numFmtId="0" fontId="41" fillId="0" borderId="12" xfId="0" applyFont="1" applyBorder="1"/>
    <xf numFmtId="167" fontId="49" fillId="0" borderId="2" xfId="0" applyNumberFormat="1" applyFont="1" applyBorder="1" applyAlignment="1">
      <alignment horizontal="center" vertical="center"/>
    </xf>
    <xf numFmtId="167" fontId="4" fillId="0" borderId="26" xfId="0" applyNumberFormat="1" applyFont="1" applyBorder="1" applyAlignment="1" applyProtection="1">
      <alignment horizontal="center" vertical="center"/>
      <protection locked="0"/>
    </xf>
    <xf numFmtId="0" fontId="2" fillId="0" borderId="0" xfId="8" applyProtection="1">
      <protection locked="0"/>
    </xf>
    <xf numFmtId="0" fontId="2" fillId="0" borderId="0" xfId="8" applyAlignment="1" applyProtection="1">
      <alignment horizontal="center" vertical="top" wrapText="1" readingOrder="2"/>
      <protection locked="0"/>
    </xf>
    <xf numFmtId="0" fontId="0" fillId="0" borderId="0" xfId="0" pivotButton="1"/>
    <xf numFmtId="171" fontId="0" fillId="0" borderId="0" xfId="0" applyNumberFormat="1"/>
    <xf numFmtId="171" fontId="0" fillId="13" borderId="0" xfId="0" applyNumberFormat="1" applyFill="1"/>
    <xf numFmtId="165" fontId="0" fillId="0" borderId="0" xfId="6" applyNumberFormat="1" applyFont="1"/>
    <xf numFmtId="165" fontId="0" fillId="13" borderId="0" xfId="6" applyNumberFormat="1" applyFont="1" applyFill="1"/>
    <xf numFmtId="165" fontId="0" fillId="0" borderId="0" xfId="0" applyNumberFormat="1"/>
    <xf numFmtId="165" fontId="11" fillId="0" borderId="0" xfId="0" applyNumberFormat="1" applyFont="1"/>
    <xf numFmtId="0" fontId="2" fillId="0" borderId="0" xfId="8" applyAlignment="1" applyProtection="1">
      <alignment horizontal="center" vertical="top" wrapText="1"/>
      <protection locked="0"/>
    </xf>
    <xf numFmtId="0" fontId="2" fillId="0" borderId="0" xfId="8" applyAlignment="1" applyProtection="1">
      <alignment horizontal="center"/>
      <protection locked="0"/>
    </xf>
    <xf numFmtId="0" fontId="2" fillId="0" borderId="0" xfId="8" applyAlignment="1" applyProtection="1">
      <alignment horizontal="center" vertical="center" wrapText="1"/>
      <protection locked="0"/>
    </xf>
    <xf numFmtId="0" fontId="2" fillId="0" borderId="0" xfId="8" applyAlignment="1" applyProtection="1">
      <alignment horizontal="center" vertical="center"/>
      <protection locked="0"/>
    </xf>
    <xf numFmtId="167" fontId="4" fillId="3" borderId="26" xfId="0" applyNumberFormat="1" applyFont="1" applyFill="1" applyBorder="1" applyAlignment="1" applyProtection="1">
      <alignment horizontal="center" vertical="center"/>
      <protection locked="0"/>
    </xf>
    <xf numFmtId="0" fontId="2" fillId="0" borderId="0" xfId="8" applyAlignment="1" applyProtection="1">
      <alignment horizontal="center" vertical="top" readingOrder="2"/>
      <protection locked="0"/>
    </xf>
    <xf numFmtId="0" fontId="2" fillId="0" borderId="0" xfId="8" applyAlignment="1" applyProtection="1">
      <alignment horizontal="center" vertical="top"/>
      <protection locked="0"/>
    </xf>
    <xf numFmtId="0" fontId="2" fillId="0" borderId="0" xfId="8" applyAlignment="1" applyProtection="1">
      <alignment horizontal="center" vertical="center" wrapText="1" readingOrder="2"/>
      <protection locked="0"/>
    </xf>
    <xf numFmtId="170" fontId="4" fillId="0" borderId="0" xfId="6" applyNumberFormat="1" applyFont="1" applyAlignment="1" applyProtection="1">
      <alignment horizontal="right" vertical="center"/>
      <protection locked="0"/>
    </xf>
    <xf numFmtId="165" fontId="6" fillId="0" borderId="0" xfId="7" applyNumberFormat="1" applyFont="1" applyFill="1"/>
    <xf numFmtId="3" fontId="9" fillId="2" borderId="0" xfId="7" applyNumberFormat="1" applyFont="1" applyFill="1" applyAlignment="1">
      <alignment horizontal="center" vertical="center"/>
    </xf>
    <xf numFmtId="3" fontId="6" fillId="0" borderId="0" xfId="7" applyNumberFormat="1" applyFont="1" applyFill="1"/>
    <xf numFmtId="3" fontId="4" fillId="0" borderId="0" xfId="7" applyNumberFormat="1" applyFont="1" applyAlignment="1">
      <alignment horizontal="right" vertical="center"/>
    </xf>
    <xf numFmtId="0" fontId="0" fillId="0" borderId="0" xfId="0" pivotButton="1" applyAlignment="1">
      <alignment wrapText="1"/>
    </xf>
    <xf numFmtId="0" fontId="0" fillId="0" borderId="0" xfId="0" applyAlignment="1">
      <alignment wrapText="1"/>
    </xf>
    <xf numFmtId="3" fontId="0" fillId="0" borderId="0" xfId="0" applyNumberFormat="1"/>
    <xf numFmtId="1" fontId="27" fillId="10" borderId="0" xfId="0" applyNumberFormat="1" applyFont="1" applyFill="1" applyAlignment="1" applyProtection="1">
      <alignment horizontal="center"/>
      <protection locked="0"/>
    </xf>
    <xf numFmtId="0" fontId="25" fillId="0" borderId="0" xfId="0" applyFont="1" applyAlignment="1">
      <alignment horizontal="center"/>
    </xf>
    <xf numFmtId="0" fontId="17" fillId="3" borderId="21" xfId="0" applyFont="1" applyFill="1" applyBorder="1" applyAlignment="1">
      <alignment horizontal="center" vertical="center"/>
    </xf>
    <xf numFmtId="0" fontId="17" fillId="3" borderId="22" xfId="0" applyFont="1" applyFill="1" applyBorder="1" applyAlignment="1">
      <alignment horizontal="center" vertical="center"/>
    </xf>
    <xf numFmtId="0" fontId="17" fillId="3" borderId="18" xfId="0" applyFont="1" applyFill="1" applyBorder="1" applyAlignment="1">
      <alignment horizontal="center" vertical="center"/>
    </xf>
    <xf numFmtId="0" fontId="17" fillId="3" borderId="19" xfId="0" applyFont="1" applyFill="1" applyBorder="1" applyAlignment="1">
      <alignment horizontal="center" vertical="center"/>
    </xf>
    <xf numFmtId="0" fontId="15" fillId="0" borderId="0" xfId="0" applyFont="1" applyAlignment="1">
      <alignment horizontal="center"/>
    </xf>
    <xf numFmtId="0" fontId="17" fillId="3" borderId="20" xfId="0" applyFont="1" applyFill="1" applyBorder="1" applyAlignment="1">
      <alignment horizontal="center" vertical="center"/>
    </xf>
    <xf numFmtId="0" fontId="18" fillId="0" borderId="8" xfId="0" applyFont="1" applyBorder="1" applyAlignment="1">
      <alignment horizontal="center" vertical="center" textRotation="90"/>
    </xf>
    <xf numFmtId="0" fontId="14" fillId="0" borderId="3" xfId="0" applyFont="1" applyBorder="1" applyAlignment="1">
      <alignment textRotation="90"/>
    </xf>
    <xf numFmtId="0" fontId="14" fillId="0" borderId="6" xfId="0" applyFont="1" applyBorder="1" applyAlignment="1">
      <alignment textRotation="90"/>
    </xf>
    <xf numFmtId="0" fontId="18" fillId="0" borderId="3" xfId="0" applyFont="1" applyBorder="1" applyAlignment="1">
      <alignment horizontal="center" vertical="center" textRotation="90"/>
    </xf>
    <xf numFmtId="0" fontId="13" fillId="3" borderId="18" xfId="0" applyFont="1" applyFill="1" applyBorder="1" applyAlignment="1">
      <alignment horizontal="center" vertical="center"/>
    </xf>
    <xf numFmtId="0" fontId="13" fillId="3" borderId="20" xfId="0" applyFont="1" applyFill="1" applyBorder="1" applyAlignment="1">
      <alignment horizontal="center" vertical="center"/>
    </xf>
    <xf numFmtId="173" fontId="27" fillId="6" borderId="0" xfId="0" applyNumberFormat="1" applyFont="1" applyFill="1" applyAlignment="1">
      <alignment horizontal="center" vertical="center"/>
    </xf>
    <xf numFmtId="173" fontId="27" fillId="6" borderId="0" xfId="0" applyNumberFormat="1" applyFont="1" applyFill="1" applyAlignment="1" applyProtection="1">
      <alignment horizontal="center" vertical="center"/>
      <protection locked="0"/>
    </xf>
    <xf numFmtId="173" fontId="27" fillId="11" borderId="0" xfId="0" applyNumberFormat="1" applyFont="1" applyFill="1" applyAlignment="1" applyProtection="1">
      <alignment horizontal="center" vertical="center"/>
      <protection locked="0"/>
    </xf>
    <xf numFmtId="173" fontId="49" fillId="0" borderId="12" xfId="0" applyNumberFormat="1" applyFont="1" applyBorder="1" applyAlignment="1">
      <alignment horizontal="center" vertical="center"/>
    </xf>
    <xf numFmtId="173" fontId="4" fillId="0" borderId="26" xfId="0" applyNumberFormat="1" applyFont="1" applyBorder="1" applyAlignment="1">
      <alignment horizontal="center" vertical="center"/>
    </xf>
    <xf numFmtId="173" fontId="4" fillId="0" borderId="26" xfId="0" applyNumberFormat="1" applyFont="1" applyBorder="1" applyAlignment="1" applyProtection="1">
      <alignment horizontal="center" vertical="center"/>
      <protection locked="0"/>
    </xf>
    <xf numFmtId="173" fontId="4" fillId="0" borderId="0" xfId="0" applyNumberFormat="1" applyFont="1" applyAlignment="1" applyProtection="1">
      <alignment horizontal="center" vertical="center"/>
      <protection locked="0"/>
    </xf>
  </cellXfs>
  <cellStyles count="9">
    <cellStyle name="Lien hypertexte" xfId="1" builtinId="8" hidden="1"/>
    <cellStyle name="Lien hypertexte" xfId="3" builtinId="8" hidden="1"/>
    <cellStyle name="Lien hypertexte" xfId="8" builtinId="8"/>
    <cellStyle name="Lien hypertexte visité" xfId="2" builtinId="9" hidden="1"/>
    <cellStyle name="Lien hypertexte visité" xfId="4" builtinId="9" hidden="1"/>
    <cellStyle name="Milliers" xfId="6" builtinId="3"/>
    <cellStyle name="Milliers 2" xfId="5" xr:uid="{9B2BF6ED-7D41-47BE-B7BF-D8AE674E3C01}"/>
    <cellStyle name="Normal" xfId="0" builtinId="0"/>
    <cellStyle name="Pourcentage" xfId="7" builtinId="5"/>
  </cellStyles>
  <dxfs count="52">
    <dxf>
      <font>
        <color rgb="FF9C0006"/>
      </font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3" formatCode="000&quot;/2025&quot;"/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3" formatCode="000&quot;/2025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69" formatCode="#,##0.0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69" formatCode="#,##0.00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_-;\-* #,##0_-;_-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_-;\-* #,##0_-;_-* &quot;-&quot;??_-;_-@_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3" formatCode="0%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_-* #,##0_-;\-* #,##0_-;_-* &quot;-&quot;??_-;_-@_-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_-* #,##0_-;\-* #,##0_-;_-* &quot;-&quot;??_-;_-@_-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wrapText="1"/>
    </dxf>
    <dxf>
      <alignment wrapText="1"/>
    </dxf>
    <dxf>
      <alignment wrapText="1"/>
    </dxf>
    <dxf>
      <alignment wrapText="1"/>
    </dxf>
    <dxf>
      <numFmt numFmtId="165" formatCode="_-* #,##0_-;\-* #,##0_-;_-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Menu principal'!B12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Menu principal'!B14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Menu principal'!D14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Menu principal'!B12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Menu principal'!B12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398145</xdr:colOff>
      <xdr:row>1</xdr:row>
      <xdr:rowOff>19050</xdr:rowOff>
    </xdr:from>
    <xdr:to>
      <xdr:col>10</xdr:col>
      <xdr:colOff>1905</xdr:colOff>
      <xdr:row>28</xdr:row>
      <xdr:rowOff>163830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0392" t="5196" r="30883" b="-1275"/>
        <a:stretch/>
      </xdr:blipFill>
      <xdr:spPr>
        <a:xfrm>
          <a:off x="12113895" y="209550"/>
          <a:ext cx="2918460" cy="70980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641350</xdr:colOff>
          <xdr:row>6</xdr:row>
          <xdr:rowOff>152400</xdr:rowOff>
        </xdr:from>
        <xdr:to>
          <xdr:col>11</xdr:col>
          <xdr:colOff>38100</xdr:colOff>
          <xdr:row>10</xdr:row>
          <xdr:rowOff>57150</xdr:rowOff>
        </xdr:to>
        <xdr:sp macro="" textlink="">
          <xdr:nvSpPr>
            <xdr:cNvPr id="11282" name="Button 18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00000000-0008-0000-0100-00001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Bookman Old Style"/>
                </a:rPr>
                <a:t>VALIDER L'INSCRIPTION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655320</xdr:colOff>
      <xdr:row>10</xdr:row>
      <xdr:rowOff>274320</xdr:rowOff>
    </xdr:from>
    <xdr:to>
      <xdr:col>11</xdr:col>
      <xdr:colOff>54780</xdr:colOff>
      <xdr:row>14</xdr:row>
      <xdr:rowOff>175800</xdr:rowOff>
    </xdr:to>
    <xdr:sp macro="" textlink="">
      <xdr:nvSpPr>
        <xdr:cNvPr id="5" name="Rectangl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437620" y="2141220"/>
          <a:ext cx="2196000" cy="709200"/>
        </a:xfrm>
        <a:prstGeom prst="rect">
          <a:avLst/>
        </a:prstGeom>
        <a:solidFill>
          <a:schemeClr val="accent3">
            <a:lumMod val="20000"/>
            <a:lumOff val="80000"/>
            <a:alpha val="75000"/>
          </a:schemeClr>
        </a:solidFill>
        <a:ln>
          <a:solidFill>
            <a:schemeClr val="bg1">
              <a:lumMod val="85000"/>
            </a:schemeClr>
          </a:solidFill>
        </a:ln>
        <a:effectLst>
          <a:glow>
            <a:schemeClr val="accent1">
              <a:alpha val="40000"/>
            </a:schemeClr>
          </a:glow>
          <a:outerShdw blurRad="25400" dist="25400" dir="4200000" sx="97000" sy="97000" algn="ctr" rotWithShape="0">
            <a:srgbClr val="000000">
              <a:alpha val="99000"/>
            </a:srgbClr>
          </a:outerShdw>
        </a:effectLst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Bookman Old Style" panose="02050604050505020204" pitchFamily="18" charset="0"/>
            </a:rPr>
            <a:t>RETOUR AU MENU PRINCIPAL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9</xdr:row>
      <xdr:rowOff>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260080" y="17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812800</xdr:colOff>
          <xdr:row>9</xdr:row>
          <xdr:rowOff>146050</xdr:rowOff>
        </xdr:from>
        <xdr:to>
          <xdr:col>3</xdr:col>
          <xdr:colOff>260350</xdr:colOff>
          <xdr:row>12</xdr:row>
          <xdr:rowOff>50800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2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Bookman Old Style"/>
                </a:rPr>
                <a:t>Recherche Nom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1308100</xdr:colOff>
          <xdr:row>9</xdr:row>
          <xdr:rowOff>146050</xdr:rowOff>
        </xdr:from>
        <xdr:to>
          <xdr:col>5</xdr:col>
          <xdr:colOff>260350</xdr:colOff>
          <xdr:row>12</xdr:row>
          <xdr:rowOff>50800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2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Bookman Old Style"/>
                </a:rPr>
                <a:t>Recherche Prénom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1200150</xdr:colOff>
          <xdr:row>9</xdr:row>
          <xdr:rowOff>107950</xdr:rowOff>
        </xdr:from>
        <xdr:to>
          <xdr:col>7</xdr:col>
          <xdr:colOff>228600</xdr:colOff>
          <xdr:row>12</xdr:row>
          <xdr:rowOff>88900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2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Bookman Old Style"/>
                </a:rPr>
                <a:t>Recherche date de naissance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175260</xdr:colOff>
      <xdr:row>9</xdr:row>
      <xdr:rowOff>68580</xdr:rowOff>
    </xdr:from>
    <xdr:to>
      <xdr:col>11</xdr:col>
      <xdr:colOff>99060</xdr:colOff>
      <xdr:row>12</xdr:row>
      <xdr:rowOff>83820</xdr:rowOff>
    </xdr:to>
    <xdr:sp macro="" textlink="">
      <xdr:nvSpPr>
        <xdr:cNvPr id="4" name="Rectangl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789920" y="1676400"/>
          <a:ext cx="2506980" cy="563880"/>
        </a:xfrm>
        <a:prstGeom prst="rect">
          <a:avLst/>
        </a:prstGeom>
        <a:solidFill>
          <a:schemeClr val="accent3">
            <a:lumMod val="20000"/>
            <a:lumOff val="80000"/>
            <a:alpha val="75000"/>
          </a:schemeClr>
        </a:solidFill>
        <a:ln>
          <a:solidFill>
            <a:schemeClr val="bg1">
              <a:lumMod val="85000"/>
            </a:schemeClr>
          </a:solidFill>
        </a:ln>
        <a:effectLst>
          <a:glow>
            <a:schemeClr val="accent1">
              <a:alpha val="40000"/>
            </a:schemeClr>
          </a:glow>
          <a:outerShdw blurRad="25400" dist="25400" dir="4200000" sx="97000" sy="97000" algn="ctr" rotWithShape="0">
            <a:srgbClr val="000000">
              <a:alpha val="99000"/>
            </a:srgbClr>
          </a:outerShdw>
        </a:effectLst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Bookman Old Style" panose="02050604050505020204" pitchFamily="18" charset="0"/>
            </a:rPr>
            <a:t>RETOUR AU MENU PRINCIPAL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10</xdr:row>
      <xdr:rowOff>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0370820" y="160782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5</xdr:row>
          <xdr:rowOff>279400</xdr:rowOff>
        </xdr:from>
        <xdr:to>
          <xdr:col>13</xdr:col>
          <xdr:colOff>876300</xdr:colOff>
          <xdr:row>9</xdr:row>
          <xdr:rowOff>88900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3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Bookman Old Style"/>
                </a:rPr>
                <a:t>Détail de paiement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137160</xdr:colOff>
      <xdr:row>13</xdr:row>
      <xdr:rowOff>83820</xdr:rowOff>
    </xdr:from>
    <xdr:to>
      <xdr:col>13</xdr:col>
      <xdr:colOff>883920</xdr:colOff>
      <xdr:row>15</xdr:row>
      <xdr:rowOff>266700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113520" y="2118360"/>
          <a:ext cx="2506980" cy="556260"/>
        </a:xfrm>
        <a:prstGeom prst="rect">
          <a:avLst/>
        </a:prstGeom>
        <a:solidFill>
          <a:schemeClr val="accent3">
            <a:lumMod val="20000"/>
            <a:lumOff val="80000"/>
            <a:alpha val="75000"/>
          </a:schemeClr>
        </a:solidFill>
        <a:ln>
          <a:solidFill>
            <a:schemeClr val="bg1">
              <a:lumMod val="85000"/>
            </a:schemeClr>
          </a:solidFill>
        </a:ln>
        <a:effectLst>
          <a:glow>
            <a:schemeClr val="accent1">
              <a:alpha val="40000"/>
            </a:schemeClr>
          </a:glow>
          <a:outerShdw blurRad="25400" dist="25400" dir="4200000" sx="97000" sy="97000" algn="ctr" rotWithShape="0">
            <a:srgbClr val="000000">
              <a:alpha val="99000"/>
            </a:srgbClr>
          </a:outerShdw>
        </a:effectLst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Bookman Old Style" panose="02050604050505020204" pitchFamily="18" charset="0"/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9</xdr:row>
          <xdr:rowOff>152400</xdr:rowOff>
        </xdr:from>
        <xdr:to>
          <xdr:col>13</xdr:col>
          <xdr:colOff>876300</xdr:colOff>
          <xdr:row>12</xdr:row>
          <xdr:rowOff>69850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3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Bookman Old Style"/>
                </a:rPr>
                <a:t>REINITIALISER RECHERCHE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260080" y="17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8</xdr:col>
      <xdr:colOff>655320</xdr:colOff>
      <xdr:row>10</xdr:row>
      <xdr:rowOff>274320</xdr:rowOff>
    </xdr:from>
    <xdr:to>
      <xdr:col>11</xdr:col>
      <xdr:colOff>54780</xdr:colOff>
      <xdr:row>14</xdr:row>
      <xdr:rowOff>175800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0873740" y="2141220"/>
          <a:ext cx="2462700" cy="709200"/>
        </a:xfrm>
        <a:prstGeom prst="rect">
          <a:avLst/>
        </a:prstGeom>
        <a:solidFill>
          <a:schemeClr val="accent3">
            <a:lumMod val="20000"/>
            <a:lumOff val="80000"/>
            <a:alpha val="75000"/>
          </a:schemeClr>
        </a:solidFill>
        <a:ln>
          <a:solidFill>
            <a:schemeClr val="bg1">
              <a:lumMod val="85000"/>
            </a:schemeClr>
          </a:solidFill>
        </a:ln>
        <a:effectLst>
          <a:glow>
            <a:schemeClr val="accent1">
              <a:alpha val="40000"/>
            </a:schemeClr>
          </a:glow>
          <a:outerShdw blurRad="25400" dist="25400" dir="4200000" sx="97000" sy="97000" algn="ctr" rotWithShape="0">
            <a:srgbClr val="000000">
              <a:alpha val="99000"/>
            </a:srgbClr>
          </a:outerShdw>
        </a:effectLst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Bookman Old Style" panose="02050604050505020204" pitchFamily="18" charset="0"/>
            </a:rPr>
            <a:t>RETOUR AU MENU PRINCIPAL</a:t>
          </a:r>
        </a:p>
      </xdr:txBody>
    </xdr:sp>
    <xdr:clientData/>
  </xdr:twoCellAnchor>
  <xdr:oneCellAnchor>
    <xdr:from>
      <xdr:col>17</xdr:col>
      <xdr:colOff>312420</xdr:colOff>
      <xdr:row>8</xdr:row>
      <xdr:rowOff>251460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8260080" y="2095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8387060" y="2095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8387060" y="2095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18387060" y="2095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17</xdr:col>
      <xdr:colOff>312420</xdr:colOff>
      <xdr:row>8</xdr:row>
      <xdr:rowOff>251460</xdr:rowOff>
    </xdr:from>
    <xdr:ext cx="184731" cy="264560"/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8260080" y="2095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17</xdr:col>
      <xdr:colOff>312420</xdr:colOff>
      <xdr:row>8</xdr:row>
      <xdr:rowOff>251460</xdr:rowOff>
    </xdr:from>
    <xdr:ext cx="184731" cy="264560"/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8260080" y="2095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17</xdr:col>
      <xdr:colOff>312420</xdr:colOff>
      <xdr:row>8</xdr:row>
      <xdr:rowOff>251460</xdr:rowOff>
    </xdr:from>
    <xdr:ext cx="184731" cy="264560"/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8260080" y="2095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17</xdr:col>
      <xdr:colOff>312420</xdr:colOff>
      <xdr:row>8</xdr:row>
      <xdr:rowOff>251460</xdr:rowOff>
    </xdr:from>
    <xdr:ext cx="184731" cy="264560"/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8260080" y="2095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18387060" y="17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13" name="ZoneText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18387060" y="17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18387060" y="17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18387060" y="17145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17171670" y="210883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18" name="ZoneText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17171670" y="210883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17171670" y="210883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17171670" y="210883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17171670" y="210883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17171670" y="1699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" name="ZoneTexte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17171670" y="1699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4" name="ZoneTexte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17171670" y="1699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17171670" y="1699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17171670" y="1699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17171670" y="208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17171670" y="208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8" name="ZoneTexte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 txBox="1"/>
      </xdr:nvSpPr>
      <xdr:spPr>
        <a:xfrm>
          <a:off x="17171670" y="208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9" name="ZoneTexte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17171670" y="208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17171670" y="208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31" name="ZoneText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17171670" y="208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32" name="ZoneText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17171670" y="208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7171670" y="208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17171670" y="208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17171670" y="208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36" name="ZoneTexte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 txBox="1"/>
      </xdr:nvSpPr>
      <xdr:spPr>
        <a:xfrm>
          <a:off x="17171670" y="208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37" name="ZoneTexte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17171670" y="208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38" name="ZoneTexte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17171670" y="208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39" name="ZoneTexte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17171670" y="208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 txBox="1"/>
      </xdr:nvSpPr>
      <xdr:spPr>
        <a:xfrm>
          <a:off x="17171670" y="2080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17171670" y="1699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17171670" y="1699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43" name="ZoneTexte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17171670" y="1699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 txBox="1"/>
      </xdr:nvSpPr>
      <xdr:spPr>
        <a:xfrm>
          <a:off x="17171670" y="1699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 txBox="1"/>
      </xdr:nvSpPr>
      <xdr:spPr>
        <a:xfrm>
          <a:off x="17171670" y="1699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 txBox="1"/>
      </xdr:nvSpPr>
      <xdr:spPr>
        <a:xfrm>
          <a:off x="17171670" y="1699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17171670" y="1699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 txBox="1"/>
      </xdr:nvSpPr>
      <xdr:spPr>
        <a:xfrm>
          <a:off x="17171670" y="1699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17171670" y="1699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 txBox="1"/>
      </xdr:nvSpPr>
      <xdr:spPr>
        <a:xfrm>
          <a:off x="17171670" y="1699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 txBox="1"/>
      </xdr:nvSpPr>
      <xdr:spPr>
        <a:xfrm>
          <a:off x="17171670" y="1699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/>
      </xdr:nvSpPr>
      <xdr:spPr>
        <a:xfrm>
          <a:off x="17171670" y="1699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 txBox="1"/>
      </xdr:nvSpPr>
      <xdr:spPr>
        <a:xfrm>
          <a:off x="17171670" y="1699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 txBox="1"/>
      </xdr:nvSpPr>
      <xdr:spPr>
        <a:xfrm>
          <a:off x="17171670" y="1699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 txBox="1"/>
      </xdr:nvSpPr>
      <xdr:spPr>
        <a:xfrm>
          <a:off x="17171670" y="1699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/>
      </xdr:nvSpPr>
      <xdr:spPr>
        <a:xfrm>
          <a:off x="17171670" y="1699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57" name="ZoneTexte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/>
      </xdr:nvSpPr>
      <xdr:spPr>
        <a:xfrm>
          <a:off x="17171670" y="1699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58" name="ZoneTexte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/>
      </xdr:nvSpPr>
      <xdr:spPr>
        <a:xfrm>
          <a:off x="17171670" y="1699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 txBox="1"/>
      </xdr:nvSpPr>
      <xdr:spPr>
        <a:xfrm>
          <a:off x="17171670" y="1699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60" name="ZoneTexte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 txBox="1"/>
      </xdr:nvSpPr>
      <xdr:spPr>
        <a:xfrm>
          <a:off x="17171670" y="16992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61" name="ZoneTexte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62" name="ZoneTexte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52" name="ZoneTexte 23551">
          <a:extLst>
            <a:ext uri="{FF2B5EF4-FFF2-40B4-BE49-F238E27FC236}">
              <a16:creationId xmlns:a16="http://schemas.microsoft.com/office/drawing/2014/main" id="{00000000-0008-0000-0400-000000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54" name="ZoneTexte 23553">
          <a:extLst>
            <a:ext uri="{FF2B5EF4-FFF2-40B4-BE49-F238E27FC236}">
              <a16:creationId xmlns:a16="http://schemas.microsoft.com/office/drawing/2014/main" id="{00000000-0008-0000-0400-000002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55" name="ZoneTexte 23554">
          <a:extLst>
            <a:ext uri="{FF2B5EF4-FFF2-40B4-BE49-F238E27FC236}">
              <a16:creationId xmlns:a16="http://schemas.microsoft.com/office/drawing/2014/main" id="{00000000-0008-0000-0400-000003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56" name="ZoneTexte 23555">
          <a:extLst>
            <a:ext uri="{FF2B5EF4-FFF2-40B4-BE49-F238E27FC236}">
              <a16:creationId xmlns:a16="http://schemas.microsoft.com/office/drawing/2014/main" id="{00000000-0008-0000-0400-000004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57" name="ZoneTexte 23556">
          <a:extLst>
            <a:ext uri="{FF2B5EF4-FFF2-40B4-BE49-F238E27FC236}">
              <a16:creationId xmlns:a16="http://schemas.microsoft.com/office/drawing/2014/main" id="{00000000-0008-0000-0400-000005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58" name="ZoneTexte 23557">
          <a:extLst>
            <a:ext uri="{FF2B5EF4-FFF2-40B4-BE49-F238E27FC236}">
              <a16:creationId xmlns:a16="http://schemas.microsoft.com/office/drawing/2014/main" id="{00000000-0008-0000-0400-000006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59" name="ZoneTexte 23558">
          <a:extLst>
            <a:ext uri="{FF2B5EF4-FFF2-40B4-BE49-F238E27FC236}">
              <a16:creationId xmlns:a16="http://schemas.microsoft.com/office/drawing/2014/main" id="{00000000-0008-0000-0400-000007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60" name="ZoneTexte 23559">
          <a:extLst>
            <a:ext uri="{FF2B5EF4-FFF2-40B4-BE49-F238E27FC236}">
              <a16:creationId xmlns:a16="http://schemas.microsoft.com/office/drawing/2014/main" id="{00000000-0008-0000-0400-000008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61" name="ZoneTexte 23560">
          <a:extLst>
            <a:ext uri="{FF2B5EF4-FFF2-40B4-BE49-F238E27FC236}">
              <a16:creationId xmlns:a16="http://schemas.microsoft.com/office/drawing/2014/main" id="{00000000-0008-0000-0400-000009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62" name="ZoneTexte 23561">
          <a:extLst>
            <a:ext uri="{FF2B5EF4-FFF2-40B4-BE49-F238E27FC236}">
              <a16:creationId xmlns:a16="http://schemas.microsoft.com/office/drawing/2014/main" id="{00000000-0008-0000-0400-00000A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63" name="ZoneTexte 23562">
          <a:extLst>
            <a:ext uri="{FF2B5EF4-FFF2-40B4-BE49-F238E27FC236}">
              <a16:creationId xmlns:a16="http://schemas.microsoft.com/office/drawing/2014/main" id="{00000000-0008-0000-0400-00000B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64" name="ZoneTexte 23563">
          <a:extLst>
            <a:ext uri="{FF2B5EF4-FFF2-40B4-BE49-F238E27FC236}">
              <a16:creationId xmlns:a16="http://schemas.microsoft.com/office/drawing/2014/main" id="{00000000-0008-0000-0400-00000C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6</xdr:row>
          <xdr:rowOff>260350</xdr:rowOff>
        </xdr:from>
        <xdr:to>
          <xdr:col>10</xdr:col>
          <xdr:colOff>1809750</xdr:colOff>
          <xdr:row>10</xdr:row>
          <xdr:rowOff>38100</xdr:rowOff>
        </xdr:to>
        <xdr:sp macro="" textlink="">
          <xdr:nvSpPr>
            <xdr:cNvPr id="23553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Bookman Old Style"/>
                </a:rPr>
                <a:t>VALIDER LES MODIFICATION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66" name="ZoneTexte 23565">
          <a:extLst>
            <a:ext uri="{FF2B5EF4-FFF2-40B4-BE49-F238E27FC236}">
              <a16:creationId xmlns:a16="http://schemas.microsoft.com/office/drawing/2014/main" id="{00000000-0008-0000-0400-00000E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67" name="ZoneTexte 23566">
          <a:extLst>
            <a:ext uri="{FF2B5EF4-FFF2-40B4-BE49-F238E27FC236}">
              <a16:creationId xmlns:a16="http://schemas.microsoft.com/office/drawing/2014/main" id="{00000000-0008-0000-0400-00000F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68" name="ZoneTexte 23567">
          <a:extLst>
            <a:ext uri="{FF2B5EF4-FFF2-40B4-BE49-F238E27FC236}">
              <a16:creationId xmlns:a16="http://schemas.microsoft.com/office/drawing/2014/main" id="{00000000-0008-0000-0400-000010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69" name="ZoneTexte 23568">
          <a:extLst>
            <a:ext uri="{FF2B5EF4-FFF2-40B4-BE49-F238E27FC236}">
              <a16:creationId xmlns:a16="http://schemas.microsoft.com/office/drawing/2014/main" id="{00000000-0008-0000-0400-000011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70" name="ZoneTexte 23569">
          <a:extLst>
            <a:ext uri="{FF2B5EF4-FFF2-40B4-BE49-F238E27FC236}">
              <a16:creationId xmlns:a16="http://schemas.microsoft.com/office/drawing/2014/main" id="{00000000-0008-0000-0400-000012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71" name="ZoneTexte 23570">
          <a:extLst>
            <a:ext uri="{FF2B5EF4-FFF2-40B4-BE49-F238E27FC236}">
              <a16:creationId xmlns:a16="http://schemas.microsoft.com/office/drawing/2014/main" id="{00000000-0008-0000-0400-000013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72" name="ZoneTexte 23571">
          <a:extLst>
            <a:ext uri="{FF2B5EF4-FFF2-40B4-BE49-F238E27FC236}">
              <a16:creationId xmlns:a16="http://schemas.microsoft.com/office/drawing/2014/main" id="{00000000-0008-0000-0400-000014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73" name="ZoneTexte 23572">
          <a:extLst>
            <a:ext uri="{FF2B5EF4-FFF2-40B4-BE49-F238E27FC236}">
              <a16:creationId xmlns:a16="http://schemas.microsoft.com/office/drawing/2014/main" id="{00000000-0008-0000-0400-000015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74" name="ZoneTexte 23573">
          <a:extLst>
            <a:ext uri="{FF2B5EF4-FFF2-40B4-BE49-F238E27FC236}">
              <a16:creationId xmlns:a16="http://schemas.microsoft.com/office/drawing/2014/main" id="{00000000-0008-0000-0400-000016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75" name="ZoneTexte 23574">
          <a:extLst>
            <a:ext uri="{FF2B5EF4-FFF2-40B4-BE49-F238E27FC236}">
              <a16:creationId xmlns:a16="http://schemas.microsoft.com/office/drawing/2014/main" id="{00000000-0008-0000-0400-000017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76" name="ZoneTexte 23575">
          <a:extLst>
            <a:ext uri="{FF2B5EF4-FFF2-40B4-BE49-F238E27FC236}">
              <a16:creationId xmlns:a16="http://schemas.microsoft.com/office/drawing/2014/main" id="{00000000-0008-0000-0400-000018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77" name="ZoneTexte 23576">
          <a:extLst>
            <a:ext uri="{FF2B5EF4-FFF2-40B4-BE49-F238E27FC236}">
              <a16:creationId xmlns:a16="http://schemas.microsoft.com/office/drawing/2014/main" id="{00000000-0008-0000-0400-000019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78" name="ZoneTexte 23577">
          <a:extLst>
            <a:ext uri="{FF2B5EF4-FFF2-40B4-BE49-F238E27FC236}">
              <a16:creationId xmlns:a16="http://schemas.microsoft.com/office/drawing/2014/main" id="{00000000-0008-0000-0400-00001A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79" name="ZoneTexte 23578">
          <a:extLst>
            <a:ext uri="{FF2B5EF4-FFF2-40B4-BE49-F238E27FC236}">
              <a16:creationId xmlns:a16="http://schemas.microsoft.com/office/drawing/2014/main" id="{00000000-0008-0000-0400-00001B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80" name="ZoneTexte 23579">
          <a:extLst>
            <a:ext uri="{FF2B5EF4-FFF2-40B4-BE49-F238E27FC236}">
              <a16:creationId xmlns:a16="http://schemas.microsoft.com/office/drawing/2014/main" id="{00000000-0008-0000-0400-00001C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81" name="ZoneTexte 23580">
          <a:extLst>
            <a:ext uri="{FF2B5EF4-FFF2-40B4-BE49-F238E27FC236}">
              <a16:creationId xmlns:a16="http://schemas.microsoft.com/office/drawing/2014/main" id="{00000000-0008-0000-0400-00001D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82" name="ZoneTexte 23581">
          <a:extLst>
            <a:ext uri="{FF2B5EF4-FFF2-40B4-BE49-F238E27FC236}">
              <a16:creationId xmlns:a16="http://schemas.microsoft.com/office/drawing/2014/main" id="{00000000-0008-0000-0400-00001E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83" name="ZoneTexte 23582">
          <a:extLst>
            <a:ext uri="{FF2B5EF4-FFF2-40B4-BE49-F238E27FC236}">
              <a16:creationId xmlns:a16="http://schemas.microsoft.com/office/drawing/2014/main" id="{00000000-0008-0000-0400-00001F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84" name="ZoneTexte 23583">
          <a:extLst>
            <a:ext uri="{FF2B5EF4-FFF2-40B4-BE49-F238E27FC236}">
              <a16:creationId xmlns:a16="http://schemas.microsoft.com/office/drawing/2014/main" id="{00000000-0008-0000-0400-000020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85" name="ZoneTexte 23584">
          <a:extLst>
            <a:ext uri="{FF2B5EF4-FFF2-40B4-BE49-F238E27FC236}">
              <a16:creationId xmlns:a16="http://schemas.microsoft.com/office/drawing/2014/main" id="{00000000-0008-0000-0400-000021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86" name="ZoneTexte 23585">
          <a:extLst>
            <a:ext uri="{FF2B5EF4-FFF2-40B4-BE49-F238E27FC236}">
              <a16:creationId xmlns:a16="http://schemas.microsoft.com/office/drawing/2014/main" id="{00000000-0008-0000-0400-000022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87" name="ZoneTexte 23586">
          <a:extLst>
            <a:ext uri="{FF2B5EF4-FFF2-40B4-BE49-F238E27FC236}">
              <a16:creationId xmlns:a16="http://schemas.microsoft.com/office/drawing/2014/main" id="{00000000-0008-0000-0400-000023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88" name="ZoneTexte 23587">
          <a:extLst>
            <a:ext uri="{FF2B5EF4-FFF2-40B4-BE49-F238E27FC236}">
              <a16:creationId xmlns:a16="http://schemas.microsoft.com/office/drawing/2014/main" id="{00000000-0008-0000-0400-000024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89" name="ZoneTexte 23588">
          <a:extLst>
            <a:ext uri="{FF2B5EF4-FFF2-40B4-BE49-F238E27FC236}">
              <a16:creationId xmlns:a16="http://schemas.microsoft.com/office/drawing/2014/main" id="{00000000-0008-0000-0400-000025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90" name="ZoneTexte 23589">
          <a:extLst>
            <a:ext uri="{FF2B5EF4-FFF2-40B4-BE49-F238E27FC236}">
              <a16:creationId xmlns:a16="http://schemas.microsoft.com/office/drawing/2014/main" id="{00000000-0008-0000-0400-000026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91" name="ZoneTexte 23590">
          <a:extLst>
            <a:ext uri="{FF2B5EF4-FFF2-40B4-BE49-F238E27FC236}">
              <a16:creationId xmlns:a16="http://schemas.microsoft.com/office/drawing/2014/main" id="{00000000-0008-0000-0400-000027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92" name="ZoneTexte 23591">
          <a:extLst>
            <a:ext uri="{FF2B5EF4-FFF2-40B4-BE49-F238E27FC236}">
              <a16:creationId xmlns:a16="http://schemas.microsoft.com/office/drawing/2014/main" id="{00000000-0008-0000-0400-000028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93" name="ZoneTexte 23592">
          <a:extLst>
            <a:ext uri="{FF2B5EF4-FFF2-40B4-BE49-F238E27FC236}">
              <a16:creationId xmlns:a16="http://schemas.microsoft.com/office/drawing/2014/main" id="{00000000-0008-0000-0400-000029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94" name="ZoneTexte 23593">
          <a:extLst>
            <a:ext uri="{FF2B5EF4-FFF2-40B4-BE49-F238E27FC236}">
              <a16:creationId xmlns:a16="http://schemas.microsoft.com/office/drawing/2014/main" id="{00000000-0008-0000-0400-00002A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312420</xdr:colOff>
      <xdr:row>8</xdr:row>
      <xdr:rowOff>251460</xdr:rowOff>
    </xdr:from>
    <xdr:ext cx="184731" cy="264560"/>
    <xdr:sp macro="" textlink="">
      <xdr:nvSpPr>
        <xdr:cNvPr id="23595" name="ZoneTexte 23594">
          <a:extLst>
            <a:ext uri="{FF2B5EF4-FFF2-40B4-BE49-F238E27FC236}">
              <a16:creationId xmlns:a16="http://schemas.microsoft.com/office/drawing/2014/main" id="{00000000-0008-0000-0400-00002B5C0000}"/>
            </a:ext>
          </a:extLst>
        </xdr:cNvPr>
        <xdr:cNvSpPr txBox="1"/>
      </xdr:nvSpPr>
      <xdr:spPr>
        <a:xfrm>
          <a:off x="17171670" y="197548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8</xdr:row>
          <xdr:rowOff>152400</xdr:rowOff>
        </xdr:from>
        <xdr:to>
          <xdr:col>12</xdr:col>
          <xdr:colOff>641350</xdr:colOff>
          <xdr:row>12</xdr:row>
          <xdr:rowOff>44450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Bookman Old Style"/>
                </a:rPr>
                <a:t>VALIDER L'ENREGISTREMENT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86995</xdr:colOff>
      <xdr:row>12</xdr:row>
      <xdr:rowOff>166370</xdr:rowOff>
    </xdr:from>
    <xdr:to>
      <xdr:col>12</xdr:col>
      <xdr:colOff>658030</xdr:colOff>
      <xdr:row>16</xdr:row>
      <xdr:rowOff>10700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1828145" y="1906270"/>
          <a:ext cx="2476035" cy="644430"/>
        </a:xfrm>
        <a:prstGeom prst="rect">
          <a:avLst/>
        </a:prstGeom>
        <a:solidFill>
          <a:schemeClr val="accent3">
            <a:lumMod val="20000"/>
            <a:lumOff val="80000"/>
            <a:alpha val="75000"/>
          </a:schemeClr>
        </a:solidFill>
        <a:ln>
          <a:solidFill>
            <a:schemeClr val="bg1">
              <a:lumMod val="85000"/>
            </a:schemeClr>
          </a:solidFill>
        </a:ln>
        <a:effectLst>
          <a:glow>
            <a:schemeClr val="accent1">
              <a:alpha val="40000"/>
            </a:schemeClr>
          </a:glow>
          <a:outerShdw blurRad="25400" dist="25400" dir="4200000" sx="97000" sy="97000" algn="ctr" rotWithShape="0">
            <a:srgbClr val="000000">
              <a:alpha val="99000"/>
            </a:srgbClr>
          </a:outerShdw>
        </a:effectLst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Bookman Old Style" panose="02050604050505020204" pitchFamily="18" charset="0"/>
            </a:rPr>
            <a:t>RETOUR AU MENU PRINCIPAL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CHS" refreshedDate="45086.841592939818" createdVersion="8" refreshedVersion="8" minRefreshableVersion="3" recordCount="685" xr:uid="{462F4580-A296-41DA-AA38-A609892D9C51}">
  <cacheSource type="worksheet">
    <worksheetSource name="Liste_globale"/>
  </cacheSource>
  <cacheFields count="22">
    <cacheField name="Matricule" numFmtId="167">
      <sharedItems containsString="0" containsBlank="1" containsNumber="1" containsInteger="1" minValue="1" maxValue="688"/>
    </cacheField>
    <cacheField name="Nom            اللقب" numFmtId="0">
      <sharedItems containsBlank="1"/>
    </cacheField>
    <cacheField name="Prénom            الاسم  " numFmtId="0">
      <sharedItems containsBlank="1"/>
    </cacheField>
    <cacheField name="Date de naissance" numFmtId="14">
      <sharedItems containsNonDate="0" containsDate="1" containsString="0" containsBlank="1" minDate="1899-12-30T00:00:00" maxDate="2019-05-18T00:00:00"/>
    </cacheField>
    <cacheField name="Sexe" numFmtId="0">
      <sharedItems containsBlank="1"/>
    </cacheField>
    <cacheField name="Tel 1" numFmtId="3">
      <sharedItems containsBlank="1" containsMixedTypes="1" containsNumber="1" containsInteger="1" minValue="20147513" maxValue="99964538"/>
    </cacheField>
    <cacheField name="Tel 2" numFmtId="0">
      <sharedItems containsString="0" containsBlank="1" containsNumber="1" containsInteger="1" minValue="0" maxValue="99611800"/>
    </cacheField>
    <cacheField name="E-mail" numFmtId="0">
      <sharedItems containsBlank="1" containsMixedTypes="1" containsNumber="1" containsInteger="1" minValue="0" maxValue="0"/>
    </cacheField>
    <cacheField name="Type" numFmtId="0">
      <sharedItems containsBlank="1" count="9">
        <s v="Ecole"/>
        <s v="Compétitif"/>
        <s v="Non Attribué"/>
        <s v="ecole "/>
        <s v="Adulte"/>
        <s v="Prélutins2018"/>
        <s v="Ecole ou Adulte"/>
        <m/>
        <s v="Licence"/>
      </sharedItems>
    </cacheField>
    <cacheField name="ID Groupe" numFmtId="0">
      <sharedItems containsBlank="1" containsMixedTypes="1" containsNumber="1" containsInteger="1" minValue="0" maxValue="64" count="68">
        <m/>
        <n v="22"/>
        <n v="9"/>
        <n v="15"/>
        <n v="58"/>
        <n v="57"/>
        <n v="3"/>
        <n v="46"/>
        <n v="4"/>
        <n v="7"/>
        <n v="41"/>
        <n v="52"/>
        <n v="61"/>
        <n v="0"/>
        <n v="13"/>
        <n v="64"/>
        <n v="18"/>
        <n v="44"/>
        <n v="6"/>
        <n v="36"/>
        <n v="23"/>
        <n v="5"/>
        <n v="55"/>
        <n v="54"/>
        <n v="20"/>
        <n v="63"/>
        <n v="29"/>
        <n v="30"/>
        <n v="45"/>
        <n v="1"/>
        <n v="35"/>
        <n v="16"/>
        <s v="16 + ?"/>
        <n v="47"/>
        <n v="38"/>
        <s v="16 et 45"/>
        <n v="12"/>
        <n v="8"/>
        <n v="34"/>
        <n v="62"/>
        <n v="2"/>
        <n v="26"/>
        <n v="11"/>
        <n v="10"/>
        <n v="50"/>
        <n v="49"/>
        <n v="24"/>
        <n v="31"/>
        <n v="14"/>
        <n v="21"/>
        <n v="33"/>
        <n v="25"/>
        <n v="27"/>
        <n v="17"/>
        <n v="56"/>
        <n v="60"/>
        <n v="19"/>
        <n v="59"/>
        <n v="48"/>
        <n v="32"/>
        <n v="37"/>
        <n v="28"/>
        <n v="51"/>
        <n v="39"/>
        <n v="42"/>
        <n v="40"/>
        <n v="53"/>
        <n v="43"/>
      </sharedItems>
    </cacheField>
    <cacheField name="Groupe" numFmtId="0">
      <sharedItems containsBlank="1" containsMixedTypes="1" containsNumber="1" containsInteger="1" minValue="0" maxValue="5"/>
    </cacheField>
    <cacheField name="Entraineur" numFmtId="0">
      <sharedItems containsBlank="1" containsMixedTypes="1" containsNumber="1" containsInteger="1" minValue="0" maxValue="0" count="29">
        <s v="Aya Hdaya"/>
        <s v="Gallas"/>
        <s v="Rayhane"/>
        <s v="Anouar"/>
        <s v="Ramzi"/>
        <m/>
        <s v="Anis Jedidi"/>
        <s v="Aya"/>
        <s v="Amine"/>
        <s v="mokhtar"/>
        <s v="Med Ladheri"/>
        <s v="Aya + Anis"/>
        <s v="Yosri"/>
        <s v="Afif"/>
        <s v="Sedki Ladheri"/>
        <s v="Ilhem"/>
        <s v="Ramzi + Amine"/>
        <s v="Anis + Yosri"/>
        <s v="Ramzi et amine"/>
        <s v="Rayhane+nidhal"/>
        <s v="Rayhne+nidhal"/>
        <s v="Nidhal"/>
        <s v="Ilhem + Rahma"/>
        <s v="Anoir"/>
        <s v="Anis jdidi"/>
        <n v="0"/>
        <s v="Aya C2"/>
        <s v="Nour"/>
        <s v="Walid"/>
      </sharedItems>
    </cacheField>
    <cacheField name="Cotisation" numFmtId="0">
      <sharedItems containsString="0" containsBlank="1" containsNumber="1" containsInteger="1" minValue="0" maxValue="1700"/>
    </cacheField>
    <cacheField name="Remise" numFmtId="0">
      <sharedItems containsString="0" containsBlank="1" containsNumber="1" minValue="0" maxValue="0.3"/>
    </cacheField>
    <cacheField name="A payer" numFmtId="0">
      <sharedItems containsString="0" containsBlank="1" containsNumber="1" containsInteger="1" minValue="0" maxValue="1700"/>
    </cacheField>
    <cacheField name="Payé" numFmtId="0">
      <sharedItems containsSemiMixedTypes="0" containsString="0" containsNumber="1" containsInteger="1" minValue="0" maxValue="1700"/>
    </cacheField>
    <cacheField name="Reste" numFmtId="165">
      <sharedItems containsSemiMixedTypes="0" containsString="0" containsNumber="1" containsInteger="1" minValue="-400" maxValue="1700"/>
    </cacheField>
    <cacheField name="Appel 1" numFmtId="0">
      <sharedItems containsBlank="1" containsMixedTypes="1" containsNumber="1" containsInteger="1" minValue="0" maxValue="0"/>
    </cacheField>
    <cacheField name="Appel 2" numFmtId="0">
      <sharedItems containsNonDate="0" containsString="0" containsBlank="1"/>
    </cacheField>
    <cacheField name="Appel 3" numFmtId="0">
      <sharedItems containsBlank="1"/>
    </cacheField>
    <cacheField name="Appel 4" numFmtId="0">
      <sharedItems containsBlank="1"/>
    </cacheField>
    <cacheField name="Appel 5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delmaksoud Thameur" refreshedDate="45614.737953356482" createdVersion="8" refreshedVersion="8" minRefreshableVersion="3" recordCount="4" xr:uid="{00AE674F-2E6D-49A6-8BAA-45A566CF2F82}">
  <cacheSource type="worksheet">
    <worksheetSource name="Liste_globale"/>
  </cacheSource>
  <cacheFields count="23">
    <cacheField name="Matricule" numFmtId="172">
      <sharedItems containsNonDate="0" containsString="0" containsBlank="1"/>
    </cacheField>
    <cacheField name="Nom            اللقب" numFmtId="0">
      <sharedItems containsNonDate="0" containsBlank="1" count="468">
        <m/>
        <s v="Rjiba" u="1"/>
        <s v="Mabrouk" u="1"/>
        <s v="Ben Slamia" u="1"/>
        <s v="Ben Abdelbori" u="1"/>
        <s v="Ben Amor" u="1"/>
        <s v="Souilem" u="1"/>
        <s v="Ben Hajd" u="1"/>
        <s v="Rzigua" u="1"/>
        <s v="Ghouila" u="1"/>
        <s v="Njah" u="1"/>
        <s v="Aberkane" u="1"/>
        <s v="Griguich" u="1"/>
        <s v="Khalil" u="1"/>
        <s v="Koobar" u="1"/>
        <s v="Sboui" u="1"/>
        <s v="Louini" u="1"/>
        <s v="Ayed" u="1"/>
        <s v="Slama" u="1"/>
        <s v="gheriyeni" u="1"/>
        <s v="Rouatbi" u="1"/>
        <s v="Msekni" u="1"/>
        <s v="Bkeri" u="1"/>
        <s v="Mkhinini" u="1"/>
        <s v="Hidar" u="1"/>
        <s v="Essanaa" u="1"/>
        <s v="Chouchen" u="1"/>
        <s v="Tounsi" u="1"/>
        <s v="Saouli" u="1"/>
        <s v="Ben Ayed" u="1"/>
        <s v="Sakhri" u="1"/>
        <s v="Aloui" u="1"/>
        <s v="Athmouni" u="1"/>
        <s v="Ben Hadj Bechir" u="1"/>
        <s v="Belkhiria" u="1"/>
        <s v="Ayouni" u="1"/>
        <s v="Grayet" u="1"/>
        <s v="Kammoun" u="1"/>
        <s v="Essid" u="1"/>
        <s v="Ayachi" u="1"/>
        <s v="Bouhlel" u="1"/>
        <s v="Kchaou" u="1"/>
        <s v="Ammar" u="1"/>
        <s v="Fradi" u="1"/>
        <s v="Seghaier" u="1"/>
        <s v="Sahloul" u="1"/>
        <s v="Alimem" u="1"/>
        <s v="Znati" u="1"/>
        <s v="Amara" u="1"/>
        <s v="Laben" u="1"/>
        <s v="Khlifa" u="1"/>
        <s v="Omezzine" u="1"/>
        <s v="Ben Alaya" u="1"/>
        <s v="Boutoub" u="1"/>
        <s v="Hmissa" u="1"/>
        <s v="Kehili" u="1"/>
        <s v="ben Rejeb" u="1"/>
        <s v="Aissaoui" u="1"/>
        <s v="Belhadj Khalifa" u="1"/>
        <s v="Tlili" u="1"/>
        <s v="Ibrahem" u="1"/>
        <s v="Guezguez" u="1"/>
        <s v="Daghrir" u="1"/>
        <s v="Srioui" u="1"/>
        <s v="Ben elhaj abdalla" u="1"/>
        <s v="Mestiri" u="1"/>
        <s v="chefaii" u="1"/>
        <s v="Zorgatti" u="1"/>
        <s v="Sahnoun" u="1"/>
        <s v="Kermani" u="1"/>
        <s v="Saidi" u="1"/>
        <s v="Jamel" u="1"/>
        <s v="Ghariani" u="1"/>
        <s v="Noureddine" u="1"/>
        <s v="baaziz" u="1"/>
        <s v="ben saad" u="1"/>
        <s v="GHARDALLOU" u="1"/>
        <s v="hmidi" u="1"/>
        <s v="Bel Haj Yahia " u="1"/>
        <s v="EL HEDDA" u="1"/>
        <s v="Bouhjama" u="1"/>
        <s v="Bouzouita" u="1"/>
        <s v="Abbasi" u="1"/>
        <s v="Labbaoui" u="1"/>
        <s v="Labaoui" u="1"/>
        <s v="Chaabane" u="1"/>
        <s v="Aalani" u="1"/>
        <s v="Bouchacha" u="1"/>
        <s v="Bouchoucha" u="1"/>
        <s v="Mallasi" u="1"/>
        <s v="Ben Arfi" u="1"/>
        <s v="Zrig" u="1"/>
        <s v="Ben Frej" u="1"/>
        <s v="Maddeh" u="1"/>
        <s v="Fekih" u="1"/>
        <s v="Farah" u="1"/>
        <s v="Dahmen" u="1"/>
        <s v="Chedly" u="1"/>
        <s v="Abid" u="1"/>
        <s v="Ben Romdhan" u="1"/>
        <s v="Letaief" u="1"/>
        <s v="Brahem" u="1"/>
        <s v="Thabet" u="1"/>
        <s v="Ghorbel" u="1"/>
        <s v="Belhadj" u="1"/>
        <s v="Maalem" u="1"/>
        <s v="Jemour" u="1"/>
        <s v="Chiba" u="1"/>
        <s v="Farhat" u="1"/>
        <s v="Ben Tiba" u="1"/>
        <s v="Laatiri" u="1"/>
        <s v="Bouabid" u="1"/>
        <s v="Dallel" u="1"/>
        <s v="Rouine" u="1"/>
        <s v="Lahmar" u="1"/>
        <s v="Ben Ahmed" u="1"/>
        <s v="Ben Mbarek" u="1"/>
        <s v="Chabaane" u="1"/>
        <s v="El Abed" u="1"/>
        <s v="Mlika" u="1"/>
        <s v="Zardi" u="1"/>
        <s v="Golli" u="1"/>
        <s v="Kortas" u="1"/>
        <s v="Omrani" u="1"/>
        <s v="Ayedi" u="1"/>
        <s v="Elmehri" u="1"/>
        <s v="Lahouar" u="1"/>
        <s v="Chahed" u="1"/>
        <s v="Bouguerra" u="1"/>
        <s v="Chouikha" u="1"/>
        <s v="Sfaxi" u="1"/>
        <s v="Abouda" u="1"/>
        <s v="Mghirbi" u="1"/>
        <s v="Mrad" u="1"/>
        <s v="Ben Kahla" u="1"/>
        <s v="Gharbi" u="1"/>
        <s v="Gaaloul" u="1"/>
        <s v="Soussi" u="1"/>
        <s v="Boumiza" u="1"/>
        <s v="Gribaa" u="1"/>
        <s v="Aamara" u="1"/>
        <s v="Ben Jannet" u="1"/>
        <s v="Alwed" u="1"/>
        <s v="Ben Chikh" u="1"/>
        <s v="Zarrad" u="1"/>
        <s v="Abassi" u="1"/>
        <s v="Ben Hammouda" u="1"/>
        <s v="Ben Hmida" u="1"/>
        <s v="Mahjoub" u="1"/>
        <s v="Kouas" u="1"/>
        <s v="Mokni" u="1"/>
        <s v="Khedimallah" u="1"/>
        <s v="Morjen" u="1"/>
        <s v="Gabsi" u="1"/>
        <s v="Almansi" u="1"/>
        <s v="Rehif" u="1"/>
        <s v="Molinari" u="1"/>
        <s v="Chaouech" u="1"/>
        <s v="Smaoui" u="1"/>
        <s v="Ben Abdallah" u="1"/>
        <s v="Jebsi" u="1"/>
        <s v="Gallas" u="1"/>
        <s v="Hmizi" u="1"/>
        <s v="Belkhouja" u="1"/>
        <s v="Grissa" u="1"/>
        <s v="Mouelhi" u="1"/>
        <s v="Zmerli" u="1"/>
        <s v="Amamou" u="1"/>
        <s v="Ben Othmen" u="1"/>
        <s v="Boukachata" u="1"/>
        <s v="Denguezli" u="1"/>
        <s v="Lamiri Chakroun" u="1"/>
        <s v="Jedidi" u="1"/>
        <s v="Hassine" u="1"/>
        <s v="Gaied" u="1"/>
        <s v="Bourkhis" u="1"/>
        <s v="Ben Anaya" u="1"/>
        <s v="Abdelghani" u="1"/>
        <s v="Ben Abdessalem" u="1"/>
        <s v="Memmi" u="1"/>
        <s v="Haj Kamel" u="1"/>
        <s v="Hafsia" u="1"/>
        <s v="Mani" u="1"/>
        <s v="Zandeh" u="1"/>
        <s v="Younes" u="1"/>
        <s v="Ben Aziza" u="1"/>
        <s v="Kriaa" u="1"/>
        <s v="Layouni" u="1"/>
        <s v="Sayahi" u="1"/>
        <s v="Chikhaoui" u="1"/>
        <s v="Ben Kalia" u="1"/>
        <s v="Tej" u="1"/>
        <s v="Mlayah" u="1"/>
        <s v="Langliz" u="1"/>
        <s v="Rekik" u="1"/>
        <s v="Barketallah" u="1"/>
        <s v="Ben TEJ" u="1"/>
        <s v="Gandouz" u="1"/>
        <s v="Cheour" u="1"/>
        <s v="Kechiche" u="1"/>
        <s v="Hadad" u="1"/>
        <s v="Daouas" u="1"/>
        <s v="Bahmen" u="1"/>
        <s v="Belhadj Ali" u="1"/>
        <s v="Ben Chekaya" u="1"/>
        <s v="Doudech" u="1"/>
        <s v="Ben Ammar" u="1"/>
        <s v="Ben Salem" u="1"/>
        <s v="Messai" u="1"/>
        <s v="Ltaief" u="1"/>
        <s v="Kaabi" u="1"/>
        <s v="Lakhdhar" u="1"/>
        <s v="Barbouchi" u="1"/>
        <s v="Ben Slimen" u="1"/>
        <s v="Kedous" u="1"/>
        <s v="Arous" u="1"/>
        <s v="Said" u="1"/>
        <s v="Nebli" u="1"/>
        <s v="Awania" u="1"/>
        <s v="Khlifi" u="1"/>
        <s v="May" u="1"/>
        <s v="Jelassi" u="1"/>
        <s v="Khelifi" u="1"/>
        <s v="Hadj Ayed" u="1"/>
        <s v="Chahata" u="1"/>
        <s v="Kalboussi" u="1"/>
        <s v="Laaribi" u="1"/>
        <s v="Bouthlija" u="1"/>
        <s v="Khechine" u="1"/>
        <s v="Ben Soussia" u="1"/>
        <s v="Bettaieb" u="1"/>
        <s v="Mosbahi" u="1"/>
        <s v="Jammeli" u="1"/>
        <s v="Dziri" u="1"/>
        <s v="Romdhani" u="1"/>
        <s v="Ben Mime" u="1"/>
        <s v="Mhiri" u="1"/>
        <s v="Koubaier" u="1"/>
        <s v="Toumi" u="1"/>
        <s v="Ktita" u="1"/>
        <s v="Mnasser" u="1"/>
        <s v="Mekki" u="1"/>
        <s v="Mlaheg" u="1"/>
        <s v="Khardeni" u="1"/>
        <s v="Becheur" u="1"/>
        <s v="Guedri" u="1"/>
        <s v="Ben Mokhtar" u="1"/>
        <s v="Hajaj" u="1"/>
        <s v="Bouzidi" u="1"/>
        <s v="Dhmiri" u="1"/>
        <s v="Mallessi" u="1"/>
        <s v="Dhawadi" u="1"/>
        <s v="Twil" u="1"/>
        <s v="Chtioui" u="1"/>
        <s v="Ben Romdhane" u="1"/>
        <s v="Guiben" u="1"/>
        <s v="Ben Hafsa" u="1"/>
        <s v="Denero" u="1"/>
        <s v="Ben Dhifallah" u="1"/>
        <s v="Chabbah" u="1"/>
        <s v="Aguir" u="1"/>
        <s v="Boudabous" u="1"/>
        <s v="Zorgati" u="1"/>
        <s v="Hassan" u="1"/>
        <s v="Walha" u="1"/>
        <s v="Lili" u="1"/>
        <s v="Aamri" u="1"/>
        <s v="Meddeb" u="1"/>
        <s v="Talbi" u="1"/>
        <s v="Ben Abdelaziz" u="1"/>
        <s v="Charef" u="1"/>
        <s v="Hichri" u="1"/>
        <s v="Dardour" u="1"/>
        <s v="Ben Youssef" u="1"/>
        <s v="Benzarti" u="1"/>
        <s v="Zgolli" u="1"/>
        <s v="Souayah" u="1"/>
        <s v="Akkari" u="1"/>
        <s v="Zahmoul" u="1"/>
        <s v="Brini" u="1"/>
        <s v="Jaafar" u="1"/>
        <s v="Harzallah" u="1"/>
        <s v="Frigui" u="1"/>
        <s v="Gahbiche" u="1"/>
        <s v="Achour" u="1"/>
        <s v="Ben Rhouma" u="1"/>
        <s v="Turki" u="1"/>
        <s v="Mghaith" u="1"/>
        <s v="Rouini" u="1"/>
        <s v="Bagane" u="1"/>
        <s v="Kharroubi" u="1"/>
        <s v="Cherif" u="1"/>
        <s v="Mdimegh" u="1"/>
        <s v="Boudaga" u="1"/>
        <s v="Maatallah" u="1"/>
        <s v="Aata" u="1"/>
        <s v="Ghannouchi" u="1"/>
        <s v="Khlij" u="1"/>
        <s v="Slimane" u="1"/>
        <s v="Chemak" u="1"/>
        <s v="Nawali" u="1"/>
        <s v="Chafra" u="1"/>
        <s v="Hachem" u="1"/>
        <s v="Faydi" u="1"/>
        <s v="Belhadj Bechir" u="1"/>
        <s v="Attia" u="1"/>
        <s v="Khbour" u="1"/>
        <s v="Lazreg" u="1"/>
        <s v="Houimel" u="1"/>
        <s v="Kacem" u="1"/>
        <s v="Meksi" u="1"/>
        <s v="Ferjani" u="1"/>
        <s v="Zbidi" u="1"/>
        <s v="Tabka" u="1"/>
        <s v="Dhib" u="1"/>
        <s v="Kahloun" u="1"/>
        <s v="Boussetta" u="1"/>
        <s v="Rziga" u="1"/>
        <s v="Zidani" u="1"/>
        <s v="Haded" u="1"/>
        <s v="Garnaoui" u="1"/>
        <s v="Hafsi" u="1"/>
        <s v="Boudidah" u="1"/>
        <s v="Bouslama" u="1"/>
        <s v="Chamli" u="1"/>
        <s v="Ben Yahia" u="1"/>
        <s v="Khal Letaief" u="1"/>
        <s v="Mdalla" u="1"/>
        <s v="Sassi" u="1"/>
        <s v="Zalfeni" u="1"/>
        <s v="Ben Ameur" u="1"/>
        <s v="Nsir" u="1"/>
        <s v="Barteji" u="1"/>
        <s v="Fnayou" u="1"/>
        <s v="Boughamoura" u="1"/>
        <s v="El Aarem" u="1"/>
        <s v="Boukadida" u="1"/>
        <s v="Chebil" u="1"/>
        <s v="Mlika " u="1"/>
        <s v="Jaballah Essid" u="1"/>
        <s v="Guetari" u="1"/>
        <s v="Ben Khalifa" u="1"/>
        <s v="Mili" u="1"/>
        <s v="Bouaouina" u="1"/>
        <s v="Dimassi" u="1"/>
        <s v="Sdiri" u="1"/>
        <s v="Okeeb" u="1"/>
        <s v="Harbi" u="1"/>
        <s v="Nahdi" u="1"/>
        <s v="Larbi" u="1"/>
        <s v="Ben Khlil" u="1"/>
        <s v="Jomaa" u="1"/>
        <s v="Ncir" u="1"/>
        <s v="Boughattas" u="1"/>
        <s v="Jouini" u="1"/>
        <s v="Fourati" u="1"/>
        <s v="Ben Chaa" u="1"/>
        <s v="Jegham" u="1"/>
        <s v="Khouja" u="1"/>
        <s v="Baklouti Sayah" u="1"/>
        <s v="Ben Ahmad" u="1"/>
        <s v="Zoghlami" u="1"/>
        <s v="Karmani" u="1"/>
        <s v="Bouraoui" u="1"/>
        <s v="Belhadj Yahiya" u="1"/>
        <s v="Abdennadher" u="1"/>
        <s v="Dhieb" u="1"/>
        <s v="Elmanaa" u="1"/>
        <s v="Ben Rejab" u="1"/>
        <s v="Gharsallah" u="1"/>
        <s v="Khmiri" u="1"/>
        <s v="Trabelsi" u="1"/>
        <s v="Ahmed" u="1"/>
        <s v="Roukaya" u="1"/>
        <s v="Ben Kilani" u="1"/>
        <s v="Chelly" u="1"/>
        <s v="Khalfallah" u="1"/>
        <s v="Mawen" u="1"/>
        <s v="Ben Mariem" u="1"/>
        <s v="Moussa" u="1"/>
        <s v="Nouicer" u="1"/>
        <s v="Bouzir" u="1"/>
        <s v="Bacha" u="1"/>
        <s v="Guehis" u="1"/>
        <s v="Khayati" u="1"/>
        <s v="Khouaja" u="1"/>
        <s v="Mathlouthi" u="1"/>
        <s v="El Masri" u="1"/>
        <s v="Saffré" u="1"/>
        <s v="Hsini" u="1"/>
        <s v="Handous" u="1"/>
        <s v="Dali" u="1"/>
        <s v="Baccouche" u="1"/>
        <s v="Snoussi" u="1"/>
        <s v="Riahi" u="1"/>
        <s v="Belaid" u="1"/>
        <s v="Zayen" u="1"/>
        <s v="Ben Attia Saafi" u="1"/>
        <s v="Zouari" u="1"/>
        <s v="Hamrouni" u="1"/>
        <s v="Slim" u="1"/>
        <s v="Ben Salah" u="1"/>
        <s v="Bazaa" u="1"/>
        <s v="Stambouli" u="1"/>
        <s v="Labassi" u="1"/>
        <s v="Saad" u="1"/>
        <s v="Hsin" u="1"/>
        <s v="Torjmen" u="1"/>
        <s v="Jrad" u="1"/>
        <s v="Khalifa" u="1"/>
        <s v="Aouina" u="1"/>
        <s v="Mattout" u="1"/>
        <s v="Gaaya" u="1"/>
        <s v="Abdelmaksoud" u="1"/>
        <s v="Gaieb" u="1"/>
        <s v="Rakkez" u="1"/>
        <s v="El Ezzi" u="1"/>
        <s v="Kachroudi" u="1"/>
        <s v="Ayech" u="1"/>
        <s v="Hachfi" u="1"/>
        <s v="Farouh" u="1"/>
        <s v="Zarii" u="1"/>
        <s v="Laajimi" u="1"/>
        <s v="Ben Hadj" u="1"/>
        <s v="Mrabtini" u="1"/>
        <s v="Abdallah" u="1"/>
        <s v="Msallem" u="1"/>
        <s v="Sahli" u="1"/>
        <s v="Ghenim" u="1"/>
        <s v="Klai" u="1"/>
        <s v="Derbel" u="1"/>
        <s v="Bahri" u="1"/>
        <s v="Ghachem" u="1"/>
        <s v="Ben Aicha" u="1"/>
        <s v="Najjar" u="1"/>
        <s v="Daas" u="1"/>
        <s v="Ben Zayed" u="1"/>
        <s v="Douma" u="1"/>
        <s v="Sekik" u="1"/>
        <s v="Garci" u="1"/>
        <s v="Paquereau" u="1"/>
        <s v="Laouiti" u="1"/>
        <s v="Jday" u="1"/>
        <s v="Chargui" u="1"/>
        <s v="Zaghdane" u="1"/>
        <s v="Ben Khelil" u="1"/>
        <s v="Ben Hamed" u="1"/>
        <s v="Louhichi" u="1"/>
        <s v="Berhouma" u="1"/>
        <s v="Mtiri" u="1"/>
        <s v="Milli" u="1"/>
        <s v="Moulahi" u="1"/>
        <s v="Ayechi" u="1"/>
        <s v="Knaz" u="1"/>
        <s v="Dhokkar" u="1"/>
        <s v="Zaghdoudi" u="1"/>
        <s v="Ben Mechlia" u="1"/>
        <s v="Mnaser" u="1"/>
        <s v="Nasr" u="1"/>
        <s v="Belhaj" u="1"/>
        <s v="Ben Fares" u="1"/>
        <s v="Hfaiedh" u="1"/>
        <s v="Kafi" u="1"/>
        <s v="Medni" u="1"/>
        <s v="Ali" u="1"/>
        <s v="Belhadj Mbarek" u="1"/>
        <s v="Ayoub" u="1"/>
        <s v="Zhani" u="1"/>
      </sharedItems>
    </cacheField>
    <cacheField name="Prénom            الاسم  " numFmtId="0">
      <sharedItems containsNonDate="0" containsBlank="1" count="343">
        <m/>
        <s v="Aicha" u="1"/>
        <s v="Mohamed" u="1"/>
        <s v="Delia" u="1"/>
        <s v="Med Aziz" u="1"/>
        <s v="Hedy" u="1"/>
        <s v="Haroun" u="1"/>
        <s v="Sami" u="1"/>
        <s v="Salma" u="1"/>
        <s v="Yassine" u="1"/>
        <s v="Med najd" u="1"/>
        <s v="Youssef" u="1"/>
        <s v="Nedin" u="1"/>
        <s v="Med Achref" u="1"/>
        <s v="Alaa" u="1"/>
        <s v="Adam" u="1"/>
        <s v="Tasnim" u="1"/>
        <s v="Rouaye" u="1"/>
        <s v="Ritej" u="1"/>
        <s v="Eya" u="1"/>
        <s v="Farah" u="1"/>
        <s v="Nour Alyakin" u="1"/>
        <s v="Yasmine" u="1"/>
        <s v="Lina" u="1"/>
        <s v="Rayan" u="1"/>
        <s v="Skander" u="1"/>
        <s v="Soulaymen" u="1"/>
        <s v="Meriam" u="1"/>
        <s v="Mehdi" u="1"/>
        <s v="Arsene" u="1"/>
        <s v="Iyed" u="1"/>
        <s v="Rayhane" u="1"/>
        <s v="Aswa" u="1"/>
        <s v="Chahd" u="1"/>
        <s v="Malek" u="1"/>
        <s v="Fares" u="1"/>
        <s v="Emna" u="1"/>
        <s v="Ines" u="1"/>
        <s v="Khaled" u="1"/>
        <s v="Sarra" u="1"/>
        <s v="Mouna" u="1"/>
        <s v="Molka" u="1"/>
        <s v="Med Skander" u="1"/>
        <s v="Hedi" u="1"/>
        <s v="Tasnime" u="1"/>
        <s v="Omar" u="1"/>
        <s v="Kenza" u="1"/>
        <s v="Halehmss" u="1"/>
        <s v="Amira" u="1"/>
        <s v="Tarek" u="1"/>
        <s v="Sonia" u="1"/>
        <s v="Klthoum" u="1"/>
        <s v="Mira" u="1"/>
        <s v="Aycha" u="1"/>
        <s v="Mootaz" u="1"/>
        <s v="Melek" u="1"/>
        <s v="Majdouline" u="1"/>
        <s v="Mayar" u="1"/>
        <s v="Abdennour" u="1"/>
        <s v="Miral" u="1"/>
        <s v="Med Khalil" u="1"/>
        <s v="Med Bedis" u="1"/>
        <s v="Bassem" u="1"/>
        <s v="Nermine" u="1"/>
        <s v="Sinda" u="1"/>
        <s v="Nadine" u="1"/>
        <s v="Lilia" u="1"/>
        <s v="Slim" u="1"/>
        <s v="Zayneb" u="1"/>
        <s v="Maha" u="1"/>
        <s v="Aymen" u="1"/>
        <s v="Selina" u="1"/>
        <s v="Imen" u="1"/>
        <s v="Joud" u="1"/>
        <s v="Selima" u="1"/>
        <s v="Rayen" u="1"/>
        <s v="Nesrine" u="1"/>
        <s v="mohamed hssin" u="1"/>
        <s v="Dorra" u="1"/>
        <s v="Elyes" u="1"/>
        <s v="Ayoub" u="1"/>
        <s v="Yahya" u="1"/>
        <s v="Yassin Farouk" u="1"/>
        <s v="hiba" u="1"/>
        <s v="larra" u="1"/>
        <s v="ahmed" u="1"/>
        <s v="aya" u="1"/>
        <s v="Sofiene " u="1"/>
        <s v="Monji" u="1"/>
        <s v="Noursine" u="1"/>
        <s v="Yosr" u="1"/>
        <s v="Fairouz" u="1"/>
        <s v="Rafik" u="1"/>
        <s v="Razan" u="1"/>
        <s v="Othmen" u="1"/>
        <s v="Bilsen" u="1"/>
        <s v="Rihem" u="1"/>
        <s v="Oussama" u="1"/>
        <s v="Meirem" u="1"/>
        <s v="Zaineb" u="1"/>
        <s v="Iline" u="1"/>
        <s v="Bedis" u="1"/>
        <s v="Med Iheb" u="1"/>
        <s v="Salima" u="1"/>
        <s v="Ahmad  Aziz" u="1"/>
        <s v="Meryem" u="1"/>
        <s v="Cedine" u="1"/>
        <s v="Yassmine" u="1"/>
        <s v="Achref" u="1"/>
        <s v="Med Ali" u="1"/>
        <s v="Aziz" u="1"/>
        <s v="Skander Selim" u="1"/>
        <s v="Med Ridha" u="1"/>
        <s v="Ilef" u="1"/>
        <s v="Meriem" u="1"/>
        <s v="Younes" u="1"/>
        <s v="Alma" u="1"/>
        <s v="Mahmoud" u="1"/>
        <s v="Wassim" u="1"/>
        <s v="Aicha Yara" u="1"/>
        <s v="Rawen" u="1"/>
        <s v="Fares Elislam" u="1"/>
        <s v="Adem" u="1"/>
        <s v="Nourane" u="1"/>
        <s v="Amel" u="1"/>
        <s v="Med Youssef" u="1"/>
        <s v="Hbib" u="1"/>
        <s v="Mazen" u="1"/>
        <s v="Rimes" u="1"/>
        <s v="Lilya" u="1"/>
        <s v="Nour " u="1"/>
        <s v="Qamar" u="1"/>
        <s v="Ghalia" u="1"/>
        <s v="Amen Allah" u="1"/>
        <s v="Mohamad" u="1"/>
        <s v="Med Rami" u="1"/>
        <s v="Mayssa" u="1"/>
        <s v="Nada" u="1"/>
        <s v="Mootaz Bellah" u="1"/>
        <s v="Aberrahmen" u="1"/>
        <s v="Ouns" u="1"/>
        <s v="Driss" u="1"/>
        <s v="Chahed" u="1"/>
        <s v="Amine" u="1"/>
        <s v="Mariam" u="1"/>
        <s v="Aziza" u="1"/>
        <s v="Zeineb" u="1"/>
        <s v="Rached" u="1"/>
        <s v="Med Amine" u="1"/>
        <s v="Islem" u="1"/>
        <s v="Maram" u="1"/>
        <s v="Mohamed Youssef" u="1"/>
        <s v="Yacine" u="1"/>
        <s v="Aram" u="1"/>
        <s v="Linda" u="1"/>
        <s v="Iskander" u="1"/>
        <s v="Adam Alexandre" u="1"/>
        <s v="Raed" u="1"/>
        <s v="Yaacoub" u="1"/>
        <s v="Safaa" u="1"/>
        <s v="Seji" u="1"/>
        <s v="Ricène" u="1"/>
        <s v="Jed" u="1"/>
        <s v="Chahine" u="1"/>
        <s v=" Med Idriss" u="1"/>
        <s v="Mohamed Ilef" u="1"/>
        <s v="Abdelkader" u="1"/>
        <s v="Mohamed Jed" u="1"/>
        <s v="Dhafer" u="1"/>
        <s v="Syrine" u="1"/>
        <s v="Saly" u="1"/>
        <s v="Eline" u="1"/>
        <s v="Baya" u="1"/>
        <s v="Aoues" u="1"/>
        <s v="Sandra" u="1"/>
        <s v="Salim" u="1"/>
        <s v="Malak" u="1"/>
        <s v="Rines" u="1"/>
        <s v="Mamoun" u="1"/>
        <s v="Fatma" u="1"/>
        <s v="Mohamed Salah" u="1"/>
        <s v="Moslem" u="1"/>
        <s v="Celine" u="1"/>
        <s v="Julia" u="1"/>
        <s v="Jana" u="1"/>
        <s v="Med Yacine" u="1"/>
        <s v="Yara" u="1"/>
        <s v="Mourad" u="1"/>
        <s v="Wissem" u="1"/>
        <s v="Zakaria" u="1"/>
        <s v="Alya" u="1"/>
        <s v="Hajer" u="1"/>
        <s v="samer" u="1"/>
        <s v="Aser" u="1"/>
        <s v="Sofia" u="1"/>
        <s v="Dina" u="1"/>
        <s v="Idris" u="1"/>
        <s v="Yazid" u="1"/>
        <s v="Jouri" u="1"/>
        <s v="Abednour" u="1"/>
        <s v="Azza" u="1"/>
        <s v="Kamel" u="1"/>
        <s v="Elyne" u="1"/>
        <s v="Mickel Youssef" u="1"/>
        <s v="Fatma Zahra" u="1"/>
        <s v="Mohamad Joud" u="1"/>
        <s v="Meriem Jouri" u="1"/>
        <s v="Ranim" u="1"/>
        <s v="Kinen" u="1"/>
        <s v="Med Anas" u="1"/>
        <s v="Karim" u="1"/>
        <s v="Jinene" u="1"/>
        <s v="Ilene" u="1"/>
        <s v="Arij" u="1"/>
        <s v="Mehdi Adam" u="1"/>
        <s v="Mohamed Yacine" u="1"/>
        <s v="Mariem" u="1"/>
        <s v="Mirna" u="1"/>
        <s v="Karam" u="1"/>
        <s v="Lilia Julia" u="1"/>
        <s v="Ferdaous" u="1"/>
        <s v="Camilia" u="1"/>
        <s v="Bayrem" u="1"/>
        <s v="Anas" u="1"/>
        <s v="Houcine" u="1"/>
        <s v="Amer" u="1"/>
        <s v="Yakine" u="1"/>
        <s v="Aline" u="1"/>
        <s v="Med Zaher" u="1"/>
        <s v="Ahlem" u="1"/>
        <s v="Touka" u="1"/>
        <s v="Afifa" u="1"/>
        <s v="Line" u="1"/>
        <s v="Israa" u="1"/>
        <s v="Yomn" u="1"/>
        <s v="Layen" u="1"/>
        <s v="Ilyes" u="1"/>
        <s v="Mohamed Sadok" u="1"/>
        <s v="Lamis" u="1"/>
        <s v="Maher" u="1"/>
        <s v="Nouha" u="1"/>
        <s v="Heni" u="1"/>
        <s v="Med Mehdi" u="1"/>
        <s v="Mohamed Rami" u="1"/>
        <s v="Fadi" u="1"/>
        <s v="Med Aymen" u="1"/>
        <s v="Achraf" u="1"/>
        <s v="Achraf Kmar" u="1"/>
        <s v="Hamza" u="1"/>
        <s v="Amen Allah Zaid" u="1"/>
        <s v="Hamed Karim" u="1"/>
        <s v="Manel" u="1"/>
        <s v="Ghada" u="1"/>
        <s v="Hamed Helmi" u="1"/>
        <s v="Raja" u="1"/>
        <s v="Dania" u="1"/>
        <s v="Med Akram" u="1"/>
        <s v="Amir" u="1"/>
        <s v="Ibtissem" u="1"/>
        <s v="Nadhir" u="1"/>
        <s v="Ons" u="1"/>
        <s v="Awes" u="1"/>
        <s v="Maya" u="1"/>
        <s v="Med Yassine" u="1"/>
        <s v="Khalil" u="1"/>
        <s v="Selim" u="1"/>
        <s v="Ahmed Khalil" u="1"/>
        <s v="Nour" u="1"/>
        <s v="Alee" u="1"/>
        <s v="Kmar Nour" u="1"/>
        <s v="Aysar" u="1"/>
        <s v="Salmen" u="1"/>
        <s v="Brahim" u="1"/>
        <s v="Céline" u="1"/>
        <s v="Racil" u="1"/>
        <s v="Abdelhedi" u="1"/>
        <s v="Cyrine" u="1"/>
        <s v="Zied" u="1"/>
        <s v="Khadija" u="1"/>
        <s v="Iris" u="1"/>
        <s v="Anis" u="1"/>
        <s v="Nourine" u="1"/>
        <s v="Mhamed" u="1"/>
        <s v="Rima" u="1"/>
        <s v="Moetaz" u="1"/>
        <s v="Sameh Chaabene" u="1"/>
        <s v="Neyrouz" u="1"/>
        <s v="Isra" u="1"/>
        <s v="Fayrouz" u="1"/>
        <s v="Med Iyed" u="1"/>
        <s v="Soulaima" u="1"/>
        <s v="Louay" u="1"/>
        <s v="Baraa" u="1"/>
        <s v="Rania" u="1"/>
        <s v="Med Ayoub" u="1"/>
        <s v="Martin" u="1"/>
        <s v="Aysam" u="1"/>
        <s v="Houmem" u="1"/>
        <s v="Aysan" u="1"/>
        <s v="Taha" u="1"/>
        <s v="Zineddine" u="1"/>
        <s v="Malika" u="1"/>
        <s v="Sinmar" u="1"/>
        <s v="Mohamed Amine" u="1"/>
        <s v="Samar" u="1"/>
        <s v="Mohamed Khalil" u="1"/>
        <s v=" Amine" u="1"/>
        <s v="Mohamed Ali" u="1"/>
        <s v="Nabil" u="1"/>
        <s v="Kmar" u="1"/>
        <s v="Boudour" u="1"/>
        <s v="Ibrahim" u="1"/>
        <s v="Rined" u="1"/>
        <s v="Ghofrane" u="1"/>
        <s v="Hussein" u="1"/>
        <s v="Acyl" u="1"/>
        <s v="Mohtadi" u="1"/>
        <s v="Nedra" u="1"/>
        <s v="Idriss" u="1"/>
        <s v="Iyes" u="1"/>
        <s v="Abedrahmen" u="1"/>
        <s v="Amina" u="1"/>
        <s v="Tayem" u="1"/>
        <s v="Med Hedi" u="1"/>
        <s v="Bissen" u="1"/>
        <s v="Adam Mahmoud" u="1"/>
        <s v="Salem" u="1"/>
        <s v="Roudaina" u="1"/>
        <s v="Med Omar" u="1"/>
        <s v="Nijed" u="1"/>
        <s v="Aleksandra Denise" u="1"/>
        <s v="Taha Yacine" u="1"/>
        <s v="Lara" u="1"/>
        <s v="Chadha" u="1"/>
        <s v="Arinas" u="1"/>
        <s v="Juri" u="1"/>
        <s v="Yessmine" u="1"/>
        <s v="Elaa" u="1"/>
        <s v="Ahmad" u="1"/>
        <s v="Hiadaya" u="1"/>
        <s v="Jamila" u="1"/>
        <s v="Joud Karam" u="1"/>
        <s v="Raafet" u="1"/>
      </sharedItems>
    </cacheField>
    <cacheField name="Date de naissance" numFmtId="14">
      <sharedItems containsNonDate="0" containsString="0" containsBlank="1"/>
    </cacheField>
    <cacheField name="Sexe" numFmtId="0">
      <sharedItems containsNonDate="0" containsString="0" containsBlank="1"/>
    </cacheField>
    <cacheField name="Tel 1" numFmtId="3">
      <sharedItems containsNonDate="0" containsString="0" containsBlank="1"/>
    </cacheField>
    <cacheField name="Tel 2" numFmtId="3">
      <sharedItems containsNonDate="0" containsString="0" containsBlank="1"/>
    </cacheField>
    <cacheField name="E-mail" numFmtId="0">
      <sharedItems containsNonDate="0" containsString="0" containsBlank="1"/>
    </cacheField>
    <cacheField name="Type" numFmtId="0">
      <sharedItems containsNonDate="0" containsString="0" containsBlank="1"/>
    </cacheField>
    <cacheField name="ID Groupe" numFmtId="0">
      <sharedItems containsNonDate="0" containsString="0" containsBlank="1"/>
    </cacheField>
    <cacheField name="Groupe" numFmtId="0">
      <sharedItems containsNonDate="0" containsString="0" containsBlank="1"/>
    </cacheField>
    <cacheField name="Entraineur" numFmtId="0">
      <sharedItems containsNonDate="0" containsString="0" containsBlank="1"/>
    </cacheField>
    <cacheField name="Cotisation" numFmtId="165">
      <sharedItems containsNonDate="0" containsString="0" containsBlank="1"/>
    </cacheField>
    <cacheField name="Remise" numFmtId="9">
      <sharedItems containsNonDate="0" containsString="0" containsBlank="1"/>
    </cacheField>
    <cacheField name="Cotisation annuelle" numFmtId="165">
      <sharedItems containsSemiMixedTypes="0" containsString="0" containsNumber="1" containsInteger="1" minValue="0" maxValue="0"/>
    </cacheField>
    <cacheField name="Cotisation Ecole d'été" numFmtId="3">
      <sharedItems containsNonDate="0" containsString="0" containsBlank="1"/>
    </cacheField>
    <cacheField name="A payer" numFmtId="165">
      <sharedItems containsSemiMixedTypes="0" containsString="0" containsNumber="1" containsInteger="1" minValue="0" maxValue="0"/>
    </cacheField>
    <cacheField name="Payé" numFmtId="165">
      <sharedItems containsSemiMixedTypes="0" containsString="0" containsNumber="1" containsInteger="1" minValue="0" maxValue="0"/>
    </cacheField>
    <cacheField name="Reste" numFmtId="165">
      <sharedItems containsSemiMixedTypes="0" containsString="0" containsNumber="1" containsInteger="1" minValue="0" maxValue="0"/>
    </cacheField>
    <cacheField name="Groupe Ecole d'été" numFmtId="0">
      <sharedItems containsNonDate="0" containsBlank="1" count="34">
        <m/>
        <s v="Groupe Natifs 2017 Nouveaux" u="1"/>
        <s v="Groupe Natifs 2015-2016 Nouveau" u="1"/>
        <s v="Groupe Natifs 2013 Anciens B" u="1"/>
        <s v="Groupe Lutins C Natifs 2018-2019" u="1"/>
        <s v="Groupe Junior NC" u="1"/>
        <s v="Groupe Natifs 2013 - 2014 Nouveaux" u="1"/>
        <s v="Groupe Lutins E Natifs 2018-2019 Nouv." u="1"/>
        <s v="Groupe Junior N A" u="1"/>
        <s v="Groupe Lutins B1 Natifs 2018" u="1"/>
        <s v="Groupe Junior G" u="1"/>
        <s v="Groupe Club Junior Anciens F" u="1"/>
        <s v="Groupe Club Junior Ancien C" u="1"/>
        <s v="Groupe Natif 2014 Anciens B" u="1"/>
        <s v="Groupe Club Junior Nouveaux B" u="1"/>
        <s v="Groupe Lutins D Natifs 2018-2019 Nouv" u="1"/>
        <s v="Groupe Natifs 2015 anciens B" u="1"/>
        <s v="Groupe Natifs 2016 A" u="1"/>
        <s v="Groupe Natifs 2017 Anciens" u="1"/>
        <s v="Groupe Club Junior Anciens B" u="1"/>
        <s v="Groupe Natifs 2015 Anciens A" u="1"/>
        <s v="Groupe Natifs 2013 Anciens" u="1"/>
        <s v="???????????" u="1"/>
        <s v="Groupe Club Junior Anciens D" u="1"/>
        <s v="Groupe Club Junior Anciens E" u="1"/>
        <s v="Groupe Poussins Natifs 2014 Anciens" u="1"/>
        <s v="Club Junior Ancien A" u="1"/>
        <s v="Groupe Lutins A Natifs 2018" u="1"/>
        <s v="Groupe Luntins B2 Natifs 2018" u="1"/>
        <s v="Groupe Pré-Lutins C" u="1"/>
        <s v="Groupe Pre-Lutins B" u="1"/>
        <s v="Groupe Pre-Lutins A" u="1"/>
        <s v="Groupe Natifs 2016 B2" u="1"/>
        <s v="Groupe Natifs 2016 B1" u="1"/>
      </sharedItems>
    </cacheField>
    <cacheField name="Appel 3" numFmtId="0">
      <sharedItems containsNonDate="0" containsString="0" containsBlank="1"/>
    </cacheField>
    <cacheField name="Paiement Ecole d'éte" numFmtId="0">
      <sharedItems containsSemiMixedTypes="0" containsString="0" containsNumber="1" containsInteger="1" minValue="0" maxValue="0"/>
    </cacheField>
    <cacheField name="Rest à payer Ecole d'été" numFmtId="3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5">
  <r>
    <n v="687"/>
    <s v="Mallasi"/>
    <s v="Youssef"/>
    <d v="2015-08-29T00:00:00"/>
    <s v="M"/>
    <n v="22017136"/>
    <n v="52606730"/>
    <s v="mellasinader@gmail.com"/>
    <x v="0"/>
    <x v="0"/>
    <n v="5"/>
    <x v="0"/>
    <n v="250"/>
    <n v="0"/>
    <n v="250"/>
    <n v="250"/>
    <n v="0"/>
    <m/>
    <m/>
    <m/>
    <m/>
    <m/>
  </r>
  <r>
    <n v="519"/>
    <s v="Ben Arfi"/>
    <s v="Bedis"/>
    <d v="2008-07-14T00:00:00"/>
    <s v="M"/>
    <n v="98724821"/>
    <n v="98801140"/>
    <m/>
    <x v="1"/>
    <x v="1"/>
    <s v="(MA1)"/>
    <x v="1"/>
    <n v="1700"/>
    <m/>
    <n v="1700"/>
    <n v="0"/>
    <n v="1700"/>
    <n v="0"/>
    <m/>
    <s v="Ne répond pas"/>
    <m/>
    <m/>
  </r>
  <r>
    <n v="2"/>
    <s v="Zrig"/>
    <s v="Ahmed"/>
    <d v="2011-02-03T00:00:00"/>
    <s v="M"/>
    <n v="56088886"/>
    <n v="56088885"/>
    <s v="maitrezrig@yahoo,fr"/>
    <x v="0"/>
    <x v="2"/>
    <s v="Club Junior DC"/>
    <x v="2"/>
    <n v="500"/>
    <m/>
    <n v="500"/>
    <n v="500"/>
    <n v="0"/>
    <n v="0"/>
    <m/>
    <m/>
    <m/>
    <m/>
  </r>
  <r>
    <n v="3"/>
    <s v="Ben Frej"/>
    <s v="Chahd"/>
    <d v="2011-04-04T00:00:00"/>
    <s v="F"/>
    <n v="26182000"/>
    <n v="21821772"/>
    <s v="ezzedine@dreamnegou,com"/>
    <x v="0"/>
    <x v="0"/>
    <s v="Club Junior DD"/>
    <x v="3"/>
    <n v="450"/>
    <m/>
    <n v="450"/>
    <n v="450"/>
    <n v="0"/>
    <n v="0"/>
    <m/>
    <m/>
    <m/>
    <m/>
  </r>
  <r>
    <n v="4"/>
    <s v="Maddeh"/>
    <s v="Youssef"/>
    <d v="2012-08-27T00:00:00"/>
    <s v="M"/>
    <n v="29509012"/>
    <n v="22601990"/>
    <m/>
    <x v="0"/>
    <x v="3"/>
    <s v="Benjamins 2012-2013"/>
    <x v="4"/>
    <n v="450"/>
    <m/>
    <n v="450"/>
    <n v="450"/>
    <n v="0"/>
    <s v="Ne répond pas"/>
    <m/>
    <m/>
    <m/>
    <m/>
  </r>
  <r>
    <n v="5"/>
    <s v="Fekih"/>
    <s v="Med Iheb"/>
    <d v="2011-06-25T00:00:00"/>
    <s v="M"/>
    <n v="97219537"/>
    <m/>
    <m/>
    <x v="2"/>
    <x v="0"/>
    <m/>
    <x v="5"/>
    <n v="500"/>
    <m/>
    <n v="500"/>
    <n v="500"/>
    <n v="0"/>
    <n v="0"/>
    <m/>
    <m/>
    <m/>
    <m/>
  </r>
  <r>
    <n v="6"/>
    <s v="Farah"/>
    <s v="Salima"/>
    <d v="2011-04-21T00:00:00"/>
    <s v="F"/>
    <n v="53474287"/>
    <n v="20474287"/>
    <m/>
    <x v="0"/>
    <x v="4"/>
    <s v="club junior"/>
    <x v="6"/>
    <n v="450"/>
    <m/>
    <n v="450"/>
    <n v="450"/>
    <n v="0"/>
    <n v="0"/>
    <m/>
    <m/>
    <m/>
    <m/>
  </r>
  <r>
    <n v="7"/>
    <s v="Farah"/>
    <s v="Ahmad  Aziz"/>
    <d v="2012-11-04T00:00:00"/>
    <s v="M"/>
    <n v="53474287"/>
    <n v="20474287"/>
    <m/>
    <x v="0"/>
    <x v="0"/>
    <s v="Benjamins 2012-2013"/>
    <x v="5"/>
    <n v="450"/>
    <m/>
    <n v="450"/>
    <n v="450"/>
    <n v="0"/>
    <n v="0"/>
    <m/>
    <m/>
    <m/>
    <m/>
  </r>
  <r>
    <n v="8"/>
    <s v="Dahmen"/>
    <s v="Youssef"/>
    <d v="2012-03-22T00:00:00"/>
    <s v="M"/>
    <n v="98404878"/>
    <m/>
    <m/>
    <x v="0"/>
    <x v="0"/>
    <s v="Club Junior DA"/>
    <x v="5"/>
    <n v="500"/>
    <m/>
    <n v="500"/>
    <n v="500"/>
    <n v="0"/>
    <n v="0"/>
    <m/>
    <m/>
    <m/>
    <m/>
  </r>
  <r>
    <n v="9"/>
    <s v="Chedly"/>
    <s v="Meryem"/>
    <d v="2012-10-03T00:00:00"/>
    <s v="F"/>
    <n v="97600501"/>
    <n v="92065101"/>
    <m/>
    <x v="0"/>
    <x v="5"/>
    <s v="Benjamins 2013 A1"/>
    <x v="6"/>
    <n v="500"/>
    <m/>
    <n v="500"/>
    <n v="500"/>
    <n v="0"/>
    <n v="0"/>
    <m/>
    <m/>
    <m/>
    <m/>
  </r>
  <r>
    <n v="10"/>
    <s v="Abid"/>
    <s v="Lina"/>
    <d v="2011-10-10T00:00:00"/>
    <s v="F"/>
    <n v="55557045"/>
    <n v="50513022"/>
    <s v="sayma-1987@live,fr"/>
    <x v="0"/>
    <x v="6"/>
    <s v="club junior"/>
    <x v="7"/>
    <n v="500"/>
    <m/>
    <n v="500"/>
    <n v="500"/>
    <n v="0"/>
    <n v="0"/>
    <m/>
    <m/>
    <m/>
    <m/>
  </r>
  <r>
    <n v="11"/>
    <s v="Ayachi"/>
    <s v="Sarra"/>
    <d v="2011-10-19T00:00:00"/>
    <s v="F"/>
    <n v="58362054"/>
    <m/>
    <m/>
    <x v="0"/>
    <x v="0"/>
    <s v="Club Junior DC"/>
    <x v="2"/>
    <n v="450"/>
    <m/>
    <n v="450"/>
    <n v="450"/>
    <n v="0"/>
    <s v="fin de semaine"/>
    <m/>
    <m/>
    <m/>
    <m/>
  </r>
  <r>
    <n v="583"/>
    <s v="Ben Romdhan"/>
    <s v="Cedine"/>
    <d v="2011-11-17T00:00:00"/>
    <s v="F"/>
    <n v="24246080"/>
    <n v="22863220"/>
    <m/>
    <x v="1"/>
    <x v="7"/>
    <s v="( MC1)"/>
    <x v="8"/>
    <n v="1700"/>
    <m/>
    <n v="1700"/>
    <n v="0"/>
    <n v="1700"/>
    <n v="0"/>
    <m/>
    <s v="ok"/>
    <m/>
    <m/>
  </r>
  <r>
    <n v="13"/>
    <s v="Ghariani"/>
    <s v="Yassmine"/>
    <d v="2012-11-05T00:00:00"/>
    <s v="F"/>
    <n v="55760922"/>
    <n v="55810430"/>
    <m/>
    <x v="0"/>
    <x v="8"/>
    <s v="Benjamins 2012 N"/>
    <x v="7"/>
    <n v="500"/>
    <n v="0.1"/>
    <n v="450"/>
    <n v="450"/>
    <n v="0"/>
    <n v="0"/>
    <m/>
    <m/>
    <m/>
    <m/>
  </r>
  <r>
    <n v="14"/>
    <s v="Ayed"/>
    <s v="Yassine"/>
    <d v="2011-09-14T00:00:00"/>
    <s v="M"/>
    <n v="28400978"/>
    <m/>
    <m/>
    <x v="0"/>
    <x v="9"/>
    <s v="Club Junior DB"/>
    <x v="7"/>
    <n v="500"/>
    <n v="0.1"/>
    <n v="450"/>
    <n v="450"/>
    <n v="0"/>
    <n v="0"/>
    <m/>
    <m/>
    <m/>
    <m/>
  </r>
  <r>
    <n v="591"/>
    <s v="Letaief"/>
    <s v="Achref"/>
    <d v="2005-12-30T00:00:00"/>
    <s v="M"/>
    <n v="26299620"/>
    <n v="58649306"/>
    <m/>
    <x v="1"/>
    <x v="10"/>
    <s v="( EA 1 )"/>
    <x v="9"/>
    <n v="1700"/>
    <m/>
    <n v="1700"/>
    <n v="0"/>
    <n v="1700"/>
    <n v="0"/>
    <m/>
    <s v="Ne répond pas"/>
    <m/>
    <m/>
  </r>
  <r>
    <n v="16"/>
    <s v="Brahem"/>
    <s v="Eya"/>
    <d v="2012-12-12T00:00:00"/>
    <s v="F"/>
    <n v="98401247"/>
    <m/>
    <m/>
    <x v="0"/>
    <x v="0"/>
    <s v="Benjamins 2012-2013"/>
    <x v="5"/>
    <n v="500"/>
    <m/>
    <n v="500"/>
    <n v="500"/>
    <n v="0"/>
    <n v="0"/>
    <m/>
    <m/>
    <m/>
    <m/>
  </r>
  <r>
    <n v="592"/>
    <s v="Letaief"/>
    <s v="Med Ali"/>
    <d v="2011-12-27T00:00:00"/>
    <s v="M"/>
    <n v="26299620"/>
    <n v="58649306"/>
    <m/>
    <x v="1"/>
    <x v="11"/>
    <s v="(B2A1)"/>
    <x v="10"/>
    <n v="1700"/>
    <m/>
    <n v="1700"/>
    <n v="0"/>
    <n v="1700"/>
    <n v="0"/>
    <m/>
    <s v="Ne répond pas"/>
    <m/>
    <m/>
  </r>
  <r>
    <n v="18"/>
    <s v="Thabet"/>
    <s v="Youssef"/>
    <d v="2011-03-29T00:00:00"/>
    <s v="M"/>
    <n v="27009720"/>
    <m/>
    <m/>
    <x v="0"/>
    <x v="12"/>
    <s v="Benjamins "/>
    <x v="11"/>
    <n v="450"/>
    <m/>
    <n v="450"/>
    <n v="450"/>
    <n v="0"/>
    <s v="A quité"/>
    <m/>
    <m/>
    <m/>
    <m/>
  </r>
  <r>
    <n v="19"/>
    <s v="Ghorbel"/>
    <s v="Aziz"/>
    <d v="2011-12-23T00:00:00"/>
    <s v="M"/>
    <n v="23341005"/>
    <m/>
    <m/>
    <x v="0"/>
    <x v="0"/>
    <s v="Club Junior DC"/>
    <x v="2"/>
    <n v="500"/>
    <m/>
    <n v="500"/>
    <n v="500"/>
    <n v="0"/>
    <s v="A quité"/>
    <m/>
    <m/>
    <m/>
    <m/>
  </r>
  <r>
    <n v="20"/>
    <s v="Belhadj"/>
    <s v="Skander Selim"/>
    <d v="2012-06-12T00:00:00"/>
    <s v="M"/>
    <n v="26444682"/>
    <m/>
    <m/>
    <x v="0"/>
    <x v="8"/>
    <s v="Benjamins 2012 N"/>
    <x v="7"/>
    <n v="500"/>
    <m/>
    <n v="500"/>
    <n v="500"/>
    <n v="0"/>
    <n v="0"/>
    <m/>
    <m/>
    <m/>
    <m/>
  </r>
  <r>
    <n v="21"/>
    <s v="Maalem"/>
    <s v="Ritej"/>
    <m/>
    <s v="F"/>
    <n v="98466873"/>
    <m/>
    <m/>
    <x v="0"/>
    <x v="13"/>
    <s v="Benjamins"/>
    <x v="5"/>
    <n v="0"/>
    <m/>
    <n v="0"/>
    <n v="0"/>
    <n v="0"/>
    <n v="0"/>
    <m/>
    <m/>
    <m/>
    <m/>
  </r>
  <r>
    <n v="22"/>
    <s v="Jemour"/>
    <s v="Med Ridha"/>
    <d v="2012-08-18T00:00:00"/>
    <s v="M"/>
    <n v="50404094"/>
    <m/>
    <m/>
    <x v="2"/>
    <x v="0"/>
    <m/>
    <x v="5"/>
    <n v="0"/>
    <m/>
    <n v="0"/>
    <n v="0"/>
    <n v="0"/>
    <s v="A quité"/>
    <m/>
    <m/>
    <m/>
    <m/>
  </r>
  <r>
    <n v="23"/>
    <s v="Daghrir"/>
    <s v="Ilef"/>
    <d v="2012-09-21T00:00:00"/>
    <s v="F"/>
    <n v="97303685"/>
    <m/>
    <m/>
    <x v="2"/>
    <x v="0"/>
    <m/>
    <x v="5"/>
    <n v="110"/>
    <m/>
    <n v="110"/>
    <n v="110"/>
    <n v="0"/>
    <n v="0"/>
    <m/>
    <m/>
    <m/>
    <m/>
  </r>
  <r>
    <n v="24"/>
    <s v="Chiba"/>
    <s v="Adam"/>
    <d v="2012-12-14T00:00:00"/>
    <s v="M"/>
    <n v="53404776"/>
    <n v="53604775"/>
    <m/>
    <x v="0"/>
    <x v="0"/>
    <s v="Benjamins 2012 N"/>
    <x v="5"/>
    <n v="250"/>
    <m/>
    <n v="250"/>
    <n v="250"/>
    <n v="0"/>
    <s v="ok"/>
    <m/>
    <m/>
    <m/>
    <m/>
  </r>
  <r>
    <n v="25"/>
    <s v="Farhat"/>
    <s v="Meriem"/>
    <d v="2011-10-24T00:00:00"/>
    <s v="F"/>
    <n v="97373537"/>
    <m/>
    <m/>
    <x v="0"/>
    <x v="14"/>
    <s v="Benjamins 2012 N"/>
    <x v="2"/>
    <n v="500"/>
    <m/>
    <n v="500"/>
    <n v="500"/>
    <n v="0"/>
    <s v="ok"/>
    <m/>
    <m/>
    <m/>
    <m/>
  </r>
  <r>
    <n v="26"/>
    <s v="Ben Tiba"/>
    <s v="Meriem"/>
    <d v="2012-11-30T00:00:00"/>
    <s v="F"/>
    <n v="55072359"/>
    <m/>
    <m/>
    <x v="0"/>
    <x v="8"/>
    <s v="Benjamins 2012 N"/>
    <x v="7"/>
    <n v="450"/>
    <m/>
    <n v="450"/>
    <n v="450"/>
    <n v="0"/>
    <n v="0"/>
    <m/>
    <m/>
    <m/>
    <m/>
  </r>
  <r>
    <n v="27"/>
    <s v="Laatiri"/>
    <s v="Yassine"/>
    <d v="2011-10-01T00:00:00"/>
    <s v="M"/>
    <n v="94136231"/>
    <m/>
    <m/>
    <x v="0"/>
    <x v="0"/>
    <s v="Club Junior DC"/>
    <x v="2"/>
    <n v="200"/>
    <m/>
    <n v="200"/>
    <n v="200"/>
    <n v="0"/>
    <n v="0"/>
    <m/>
    <m/>
    <m/>
    <m/>
  </r>
  <r>
    <n v="28"/>
    <s v="Bouabid"/>
    <s v="Younes"/>
    <d v="2011-07-21T00:00:00"/>
    <s v="M"/>
    <n v="58989084"/>
    <m/>
    <m/>
    <x v="0"/>
    <x v="0"/>
    <s v="Club Junior DD"/>
    <x v="3"/>
    <n v="0"/>
    <m/>
    <n v="0"/>
    <n v="0"/>
    <n v="0"/>
    <n v="0"/>
    <m/>
    <m/>
    <m/>
    <m/>
  </r>
  <r>
    <n v="29"/>
    <s v="Dallel"/>
    <s v="Lina"/>
    <d v="2011-10-05T00:00:00"/>
    <s v="F"/>
    <n v="97711796"/>
    <n v="27102626"/>
    <m/>
    <x v="0"/>
    <x v="15"/>
    <s v="club junior"/>
    <x v="12"/>
    <n v="500"/>
    <m/>
    <n v="500"/>
    <n v="500"/>
    <n v="0"/>
    <s v="A quité"/>
    <m/>
    <m/>
    <m/>
    <m/>
  </r>
  <r>
    <n v="30"/>
    <s v="Rouine"/>
    <s v="Yasmine"/>
    <d v="2012-04-20T00:00:00"/>
    <s v="F"/>
    <n v="24132403"/>
    <m/>
    <m/>
    <x v="0"/>
    <x v="0"/>
    <s v="Benjamins 2012-2013"/>
    <x v="5"/>
    <n v="400"/>
    <m/>
    <n v="400"/>
    <n v="400"/>
    <n v="0"/>
    <n v="0"/>
    <m/>
    <m/>
    <m/>
    <m/>
  </r>
  <r>
    <n v="31"/>
    <s v="Lahmar"/>
    <s v="Eya"/>
    <d v="2012-09-20T00:00:00"/>
    <s v="F"/>
    <n v="98308891"/>
    <m/>
    <m/>
    <x v="0"/>
    <x v="3"/>
    <s v="Poussins 2014-2015"/>
    <x v="4"/>
    <n v="500"/>
    <m/>
    <n v="500"/>
    <n v="500"/>
    <n v="0"/>
    <s v="ne joue pas"/>
    <m/>
    <m/>
    <m/>
    <m/>
  </r>
  <r>
    <n v="32"/>
    <s v="Belkhiria"/>
    <s v="Alma"/>
    <d v="2011-07-21T00:00:00"/>
    <s v="F"/>
    <n v="98354712"/>
    <m/>
    <m/>
    <x v="0"/>
    <x v="14"/>
    <s v="club junior"/>
    <x v="2"/>
    <n v="450"/>
    <m/>
    <n v="450"/>
    <n v="450"/>
    <n v="0"/>
    <s v="ok"/>
    <m/>
    <m/>
    <m/>
    <m/>
  </r>
  <r>
    <n v="33"/>
    <s v="Ben Ahmed"/>
    <s v="Ahmed"/>
    <d v="2012-05-31T00:00:00"/>
    <s v="M"/>
    <n v="22526188"/>
    <m/>
    <m/>
    <x v="0"/>
    <x v="12"/>
    <s v="Benjamins "/>
    <x v="11"/>
    <n v="450"/>
    <m/>
    <n v="450"/>
    <n v="450"/>
    <n v="0"/>
    <n v="0"/>
    <m/>
    <m/>
    <m/>
    <m/>
  </r>
  <r>
    <n v="34"/>
    <s v="Ben Mbarek"/>
    <s v="Emna"/>
    <d v="2012-08-23T00:00:00"/>
    <s v="F"/>
    <n v="29406232"/>
    <m/>
    <m/>
    <x v="2"/>
    <x v="0"/>
    <m/>
    <x v="5"/>
    <n v="200"/>
    <m/>
    <n v="200"/>
    <n v="200"/>
    <n v="0"/>
    <n v="0"/>
    <m/>
    <m/>
    <m/>
    <m/>
  </r>
  <r>
    <n v="35"/>
    <s v="Chabaane"/>
    <s v="Mahmoud"/>
    <d v="2012-09-25T00:00:00"/>
    <s v="M"/>
    <n v="98581723"/>
    <m/>
    <m/>
    <x v="0"/>
    <x v="16"/>
    <s v="Benjamins 2013 A2"/>
    <x v="4"/>
    <n v="450"/>
    <m/>
    <n v="450"/>
    <n v="450"/>
    <n v="0"/>
    <n v="0"/>
    <m/>
    <m/>
    <m/>
    <m/>
  </r>
  <r>
    <n v="36"/>
    <s v="El Abed"/>
    <s v="Malek"/>
    <d v="2012-06-26T00:00:00"/>
    <s v="F"/>
    <n v="50339246"/>
    <m/>
    <m/>
    <x v="2"/>
    <x v="0"/>
    <m/>
    <x v="5"/>
    <n v="0"/>
    <m/>
    <n v="0"/>
    <n v="0"/>
    <n v="0"/>
    <s v="Ne répond pas"/>
    <m/>
    <m/>
    <m/>
    <m/>
  </r>
  <r>
    <n v="665"/>
    <s v="Mlika"/>
    <s v="Lina"/>
    <m/>
    <s v="F"/>
    <n v="55326236"/>
    <m/>
    <m/>
    <x v="1"/>
    <x v="17"/>
    <m/>
    <x v="13"/>
    <n v="1700"/>
    <m/>
    <n v="1700"/>
    <n v="700"/>
    <n v="1000"/>
    <e v="#N/A"/>
    <m/>
    <s v="ok"/>
    <m/>
    <m/>
  </r>
  <r>
    <n v="38"/>
    <s v="Zardi"/>
    <s v="Wassim"/>
    <d v="2012-10-16T00:00:00"/>
    <s v="M"/>
    <n v="98980830"/>
    <m/>
    <m/>
    <x v="0"/>
    <x v="18"/>
    <s v="Poussins 2014 N"/>
    <x v="7"/>
    <n v="500"/>
    <m/>
    <n v="500"/>
    <n v="500"/>
    <n v="0"/>
    <n v="0"/>
    <m/>
    <m/>
    <m/>
    <m/>
  </r>
  <r>
    <n v="39"/>
    <s v="Golli"/>
    <s v="Aicha Yara"/>
    <d v="2012-12-07T00:00:00"/>
    <s v="F"/>
    <m/>
    <m/>
    <m/>
    <x v="0"/>
    <x v="16"/>
    <s v="Benjamins 2013 A2"/>
    <x v="4"/>
    <n v="0"/>
    <m/>
    <n v="0"/>
    <n v="0"/>
    <n v="0"/>
    <s v="Travaux rapport CAC Assemblé Génarale elective"/>
    <m/>
    <m/>
    <m/>
    <m/>
  </r>
  <r>
    <n v="666"/>
    <s v="Ben Amor"/>
    <s v="Rawen"/>
    <m/>
    <s v="F"/>
    <n v="98592050"/>
    <m/>
    <m/>
    <x v="1"/>
    <x v="17"/>
    <s v="(MA2)"/>
    <x v="13"/>
    <n v="1700"/>
    <m/>
    <n v="1700"/>
    <n v="0"/>
    <n v="1700"/>
    <e v="#N/A"/>
    <m/>
    <s v="ok"/>
    <m/>
    <m/>
  </r>
  <r>
    <n v="667"/>
    <s v="Kortas"/>
    <s v="Fares"/>
    <m/>
    <s v="M"/>
    <m/>
    <m/>
    <m/>
    <x v="1"/>
    <x v="7"/>
    <s v="( MC1)"/>
    <x v="8"/>
    <n v="1700"/>
    <m/>
    <n v="1700"/>
    <n v="0"/>
    <n v="1700"/>
    <e v="#N/A"/>
    <m/>
    <s v="ok"/>
    <m/>
    <m/>
  </r>
  <r>
    <n v="42"/>
    <s v="Omrani"/>
    <s v="Miral"/>
    <d v="2012-07-13T00:00:00"/>
    <s v="F"/>
    <n v="20208690"/>
    <m/>
    <m/>
    <x v="2"/>
    <x v="0"/>
    <m/>
    <x v="5"/>
    <n v="200"/>
    <m/>
    <n v="200"/>
    <n v="200"/>
    <n v="0"/>
    <n v="0"/>
    <m/>
    <m/>
    <m/>
    <m/>
  </r>
  <r>
    <n v="43"/>
    <s v="Ben Saad"/>
    <s v="Adem"/>
    <d v="2011-11-19T00:00:00"/>
    <s v="M"/>
    <n v="98622452"/>
    <m/>
    <m/>
    <x v="2"/>
    <x v="0"/>
    <m/>
    <x v="5"/>
    <n v="500"/>
    <m/>
    <n v="500"/>
    <n v="500"/>
    <n v="0"/>
    <n v="0"/>
    <m/>
    <m/>
    <m/>
    <m/>
  </r>
  <r>
    <n v="44"/>
    <s v="Ayedi"/>
    <s v="Youssef"/>
    <d v="2012-05-15T00:00:00"/>
    <s v="M"/>
    <n v="98404682"/>
    <m/>
    <m/>
    <x v="0"/>
    <x v="0"/>
    <s v="Benjamins 2012-2013"/>
    <x v="5"/>
    <n v="500"/>
    <n v="0.2"/>
    <n v="400"/>
    <n v="400"/>
    <n v="0"/>
    <n v="0"/>
    <m/>
    <m/>
    <m/>
    <m/>
  </r>
  <r>
    <n v="45"/>
    <s v="Elmehri"/>
    <s v="Mehdi"/>
    <d v="2011-09-05T00:00:00"/>
    <s v="M"/>
    <n v="98801187"/>
    <m/>
    <m/>
    <x v="0"/>
    <x v="19"/>
    <m/>
    <x v="3"/>
    <n v="500"/>
    <m/>
    <n v="500"/>
    <n v="500"/>
    <n v="0"/>
    <s v="ok"/>
    <m/>
    <m/>
    <m/>
    <m/>
  </r>
  <r>
    <n v="46"/>
    <s v="Lahouar"/>
    <s v="Lilia"/>
    <d v="2012-08-15T00:00:00"/>
    <s v="F"/>
    <n v="98276649"/>
    <m/>
    <m/>
    <x v="0"/>
    <x v="0"/>
    <s v="Benjamins 2012-2013"/>
    <x v="5"/>
    <n v="500"/>
    <m/>
    <n v="500"/>
    <n v="500"/>
    <n v="0"/>
    <n v="0"/>
    <m/>
    <m/>
    <m/>
    <m/>
  </r>
  <r>
    <n v="47"/>
    <s v="Chahed"/>
    <s v="Nourane"/>
    <d v="2012-04-06T00:00:00"/>
    <s v="F"/>
    <n v="97600257"/>
    <m/>
    <m/>
    <x v="0"/>
    <x v="3"/>
    <s v="Poussins 2014-2015"/>
    <x v="4"/>
    <n v="500"/>
    <m/>
    <n v="500"/>
    <n v="500"/>
    <n v="0"/>
    <s v="Travaux rapport CAC Assemblé Génarale elective"/>
    <m/>
    <m/>
    <m/>
    <m/>
  </r>
  <r>
    <n v="48"/>
    <s v="Bouguerra"/>
    <s v="Amel"/>
    <d v="2012-10-24T00:00:00"/>
    <s v="F"/>
    <n v="22125823"/>
    <m/>
    <m/>
    <x v="0"/>
    <x v="16"/>
    <s v="Benjamins 2013 A2"/>
    <x v="4"/>
    <n v="500"/>
    <m/>
    <n v="500"/>
    <n v="500"/>
    <n v="0"/>
    <n v="0"/>
    <m/>
    <m/>
    <m/>
    <m/>
  </r>
  <r>
    <n v="49"/>
    <s v="Chouikha"/>
    <s v="Kenza"/>
    <d v="2012-04-14T00:00:00"/>
    <s v="F"/>
    <n v="50531013"/>
    <m/>
    <m/>
    <x v="0"/>
    <x v="0"/>
    <s v="Benjamins 2012-2013"/>
    <x v="5"/>
    <n v="500"/>
    <m/>
    <n v="500"/>
    <n v="500"/>
    <n v="0"/>
    <s v="Ne répond pas"/>
    <m/>
    <m/>
    <m/>
    <m/>
  </r>
  <r>
    <n v="50"/>
    <s v="Sfaxi"/>
    <s v="Kenza"/>
    <d v="2011-02-05T00:00:00"/>
    <s v="F"/>
    <n v="56797300"/>
    <m/>
    <m/>
    <x v="2"/>
    <x v="0"/>
    <m/>
    <x v="5"/>
    <n v="400"/>
    <m/>
    <n v="400"/>
    <n v="400"/>
    <n v="0"/>
    <n v="0"/>
    <m/>
    <m/>
    <m/>
    <m/>
  </r>
  <r>
    <n v="51"/>
    <s v="Abouda"/>
    <s v="Med Youssef"/>
    <d v="2011-01-17T00:00:00"/>
    <s v="M"/>
    <n v="99456910"/>
    <m/>
    <m/>
    <x v="0"/>
    <x v="0"/>
    <s v="Club Junior DD"/>
    <x v="3"/>
    <n v="500"/>
    <m/>
    <n v="500"/>
    <n v="500"/>
    <n v="0"/>
    <s v="ok"/>
    <m/>
    <m/>
    <m/>
    <m/>
  </r>
  <r>
    <n v="52"/>
    <s v="Ayedi"/>
    <s v="Slim"/>
    <d v="2012-05-15T00:00:00"/>
    <s v="M"/>
    <n v="98404682"/>
    <m/>
    <m/>
    <x v="0"/>
    <x v="3"/>
    <s v="Poussins 2014-2015"/>
    <x v="4"/>
    <n v="500"/>
    <n v="0.3"/>
    <n v="350"/>
    <n v="350"/>
    <n v="0"/>
    <s v="ok"/>
    <m/>
    <m/>
    <m/>
    <m/>
  </r>
  <r>
    <n v="569"/>
    <s v="Mghirbi"/>
    <s v="Hbib"/>
    <d v="2011-03-21T00:00:00"/>
    <s v="M"/>
    <n v="50787885"/>
    <n v="52664072"/>
    <s v="asmachemlica1982@yahoo.com"/>
    <x v="1"/>
    <x v="20"/>
    <s v="(B2 A2)"/>
    <x v="1"/>
    <n v="1700"/>
    <m/>
    <n v="1700"/>
    <n v="500"/>
    <n v="1200"/>
    <n v="0"/>
    <m/>
    <s v="Ne répond pas"/>
    <m/>
    <m/>
  </r>
  <r>
    <n v="523"/>
    <s v="Mrad"/>
    <s v="Mazen"/>
    <d v="2011-02-28T00:00:00"/>
    <s v="M"/>
    <n v="53248928"/>
    <m/>
    <m/>
    <x v="1"/>
    <x v="11"/>
    <s v="(B2A1)"/>
    <x v="10"/>
    <n v="1700"/>
    <m/>
    <n v="1700"/>
    <n v="1000"/>
    <n v="700"/>
    <n v="0"/>
    <m/>
    <s v="ok"/>
    <m/>
    <m/>
  </r>
  <r>
    <n v="55"/>
    <s v="Ben Kahla"/>
    <s v="Salma"/>
    <d v="2012-05-24T00:00:00"/>
    <s v="F"/>
    <n v="29460274"/>
    <m/>
    <m/>
    <x v="0"/>
    <x v="21"/>
    <s v="Benjamins N"/>
    <x v="7"/>
    <n v="500"/>
    <m/>
    <n v="500"/>
    <n v="500"/>
    <n v="0"/>
    <n v="0"/>
    <m/>
    <m/>
    <m/>
    <m/>
  </r>
  <r>
    <n v="556"/>
    <s v="Gharbi"/>
    <s v="Emna"/>
    <d v="2008-10-03T00:00:00"/>
    <s v="F"/>
    <n v="97339574"/>
    <m/>
    <s v="hendmarmouri01@gmail.com"/>
    <x v="1"/>
    <x v="10"/>
    <s v=" ( EA 2 )"/>
    <x v="9"/>
    <n v="1700"/>
    <m/>
    <n v="1700"/>
    <n v="1400"/>
    <n v="300"/>
    <s v="ok"/>
    <m/>
    <s v="ok"/>
    <m/>
    <m/>
  </r>
  <r>
    <n v="548"/>
    <s v="Gaaloul"/>
    <s v="Rimes"/>
    <d v="2013-12-08T00:00:00"/>
    <s v="F"/>
    <n v="99539109"/>
    <n v="97641813"/>
    <m/>
    <x v="1"/>
    <x v="22"/>
    <s v="(P2 B2)"/>
    <x v="14"/>
    <n v="1500"/>
    <m/>
    <n v="1500"/>
    <n v="500"/>
    <n v="1000"/>
    <n v="0"/>
    <m/>
    <s v="ok"/>
    <m/>
    <m/>
  </r>
  <r>
    <n v="58"/>
    <s v="Soussi"/>
    <s v="Sarra"/>
    <d v="2012-09-03T00:00:00"/>
    <s v="F"/>
    <n v="97315562"/>
    <m/>
    <m/>
    <x v="0"/>
    <x v="3"/>
    <s v="Poussins 2014-2015"/>
    <x v="4"/>
    <n v="450"/>
    <m/>
    <n v="450"/>
    <n v="450"/>
    <n v="0"/>
    <n v="0"/>
    <m/>
    <m/>
    <m/>
    <m/>
  </r>
  <r>
    <n v="546"/>
    <s v="Boumiza"/>
    <s v="Youssef"/>
    <d v="2008-01-15T00:00:00"/>
    <s v="M"/>
    <n v="54243281"/>
    <n v="50980820"/>
    <m/>
    <x v="1"/>
    <x v="1"/>
    <s v="(MA1)"/>
    <x v="1"/>
    <n v="1700"/>
    <m/>
    <n v="1700"/>
    <n v="800"/>
    <n v="900"/>
    <n v="0"/>
    <m/>
    <s v="ok"/>
    <m/>
    <m/>
  </r>
  <r>
    <n v="60"/>
    <s v="Ben Amor"/>
    <s v="Lilya"/>
    <d v="2014-04-10T00:00:00"/>
    <s v="F"/>
    <m/>
    <m/>
    <m/>
    <x v="1"/>
    <x v="23"/>
    <s v="(P1 C1)"/>
    <x v="14"/>
    <n v="1500"/>
    <m/>
    <n v="1500"/>
    <n v="1500"/>
    <n v="0"/>
    <n v="0"/>
    <m/>
    <m/>
    <m/>
    <m/>
  </r>
  <r>
    <n v="61"/>
    <s v="Gribaa"/>
    <s v="Yassmine"/>
    <d v="2012-04-19T00:00:00"/>
    <s v="F"/>
    <n v="98635016"/>
    <m/>
    <m/>
    <x v="0"/>
    <x v="0"/>
    <s v="Benjamins 2012-2013"/>
    <x v="5"/>
    <n v="500"/>
    <m/>
    <n v="500"/>
    <n v="500"/>
    <n v="0"/>
    <n v="0"/>
    <m/>
    <m/>
    <m/>
    <m/>
  </r>
  <r>
    <n v="62"/>
    <s v="Aamara"/>
    <s v="Nour "/>
    <d v="2011-10-12T00:00:00"/>
    <s v="F"/>
    <n v="21762547"/>
    <m/>
    <m/>
    <x v="0"/>
    <x v="24"/>
    <m/>
    <x v="5"/>
    <n v="500"/>
    <m/>
    <n v="500"/>
    <n v="500"/>
    <n v="0"/>
    <n v="0"/>
    <m/>
    <m/>
    <m/>
    <m/>
  </r>
  <r>
    <n v="63"/>
    <s v="Ben Jannet"/>
    <s v="Qamar"/>
    <d v="2012-09-03T00:00:00"/>
    <s v="F"/>
    <n v="55299499"/>
    <m/>
    <m/>
    <x v="0"/>
    <x v="14"/>
    <s v="club junior"/>
    <x v="2"/>
    <n v="450"/>
    <m/>
    <n v="450"/>
    <n v="450"/>
    <n v="0"/>
    <n v="0"/>
    <m/>
    <m/>
    <m/>
    <m/>
  </r>
  <r>
    <n v="64"/>
    <s v="Alwed"/>
    <s v="Tasnim"/>
    <d v="2012-08-06T00:00:00"/>
    <s v="F"/>
    <n v="97263181"/>
    <m/>
    <m/>
    <x v="0"/>
    <x v="0"/>
    <s v="Benjamins 2012 N"/>
    <x v="5"/>
    <n v="500"/>
    <m/>
    <n v="500"/>
    <n v="500"/>
    <n v="0"/>
    <n v="0"/>
    <m/>
    <m/>
    <m/>
    <m/>
  </r>
  <r>
    <n v="65"/>
    <s v="Ben Chikh"/>
    <s v="Yosr"/>
    <d v="2012-02-10T00:00:00"/>
    <s v="F"/>
    <n v="50759505"/>
    <m/>
    <m/>
    <x v="0"/>
    <x v="0"/>
    <s v="Benjamins 2012 N"/>
    <x v="5"/>
    <n v="500"/>
    <m/>
    <n v="500"/>
    <n v="500"/>
    <n v="0"/>
    <n v="0"/>
    <m/>
    <m/>
    <m/>
    <m/>
  </r>
  <r>
    <n v="66"/>
    <s v="Zarrad"/>
    <s v="Youssef"/>
    <d v="2011-10-28T00:00:00"/>
    <s v="M"/>
    <n v="53122281"/>
    <m/>
    <m/>
    <x v="0"/>
    <x v="0"/>
    <s v="Poussins 2014 A"/>
    <x v="5"/>
    <n v="450"/>
    <m/>
    <n v="450"/>
    <n v="450"/>
    <n v="0"/>
    <n v="0"/>
    <m/>
    <m/>
    <m/>
    <m/>
  </r>
  <r>
    <n v="67"/>
    <s v="Abassi"/>
    <s v="Ghalia"/>
    <d v="2011-03-06T00:00:00"/>
    <s v="F"/>
    <n v="26012000"/>
    <m/>
    <m/>
    <x v="0"/>
    <x v="15"/>
    <s v="club junior"/>
    <x v="12"/>
    <n v="500"/>
    <m/>
    <n v="500"/>
    <n v="500"/>
    <n v="0"/>
    <n v="0"/>
    <m/>
    <m/>
    <m/>
    <m/>
  </r>
  <r>
    <n v="68"/>
    <s v="Ben Hammouda"/>
    <s v="Meriem"/>
    <d v="2011-06-02T00:00:00"/>
    <s v="F"/>
    <n v="99500336"/>
    <m/>
    <m/>
    <x v="0"/>
    <x v="2"/>
    <s v="Club Junior DC"/>
    <x v="2"/>
    <n v="450"/>
    <m/>
    <n v="450"/>
    <n v="450"/>
    <n v="0"/>
    <s v="Ne répond pas"/>
    <m/>
    <m/>
    <m/>
    <m/>
  </r>
  <r>
    <n v="69"/>
    <s v="Ben Hmida"/>
    <s v="Amen Allah"/>
    <d v="2003-02-13T00:00:00"/>
    <s v="M"/>
    <m/>
    <m/>
    <m/>
    <x v="0"/>
    <x v="0"/>
    <s v="Club Junior A"/>
    <x v="5"/>
    <n v="500"/>
    <m/>
    <n v="500"/>
    <n v="500"/>
    <n v="0"/>
    <n v="0"/>
    <m/>
    <m/>
    <m/>
    <m/>
  </r>
  <r>
    <n v="578"/>
    <s v="Mahjoub"/>
    <s v="Mohamad"/>
    <d v="2014-04-11T00:00:00"/>
    <s v="M"/>
    <n v="98303509"/>
    <n v="98452219"/>
    <m/>
    <x v="1"/>
    <x v="23"/>
    <s v="(P1 C1)"/>
    <x v="14"/>
    <n v="1200"/>
    <n v="0.1"/>
    <n v="1080"/>
    <n v="1000"/>
    <n v="80"/>
    <s v="ok"/>
    <m/>
    <s v="ok"/>
    <m/>
    <m/>
  </r>
  <r>
    <n v="71"/>
    <s v="Kouas"/>
    <s v="Sarra"/>
    <d v="2007-07-11T00:00:00"/>
    <s v="F"/>
    <n v="98276746"/>
    <m/>
    <m/>
    <x v="0"/>
    <x v="0"/>
    <s v="Club Junior DA"/>
    <x v="4"/>
    <n v="450"/>
    <m/>
    <n v="450"/>
    <n v="450"/>
    <n v="0"/>
    <s v="ok"/>
    <m/>
    <m/>
    <m/>
    <m/>
  </r>
  <r>
    <n v="72"/>
    <s v="Mokni"/>
    <s v="Ines"/>
    <d v="2007-02-18T00:00:00"/>
    <s v="F"/>
    <n v="54359733"/>
    <m/>
    <m/>
    <x v="0"/>
    <x v="4"/>
    <s v="club junior"/>
    <x v="6"/>
    <n v="500"/>
    <m/>
    <n v="500"/>
    <n v="500"/>
    <n v="0"/>
    <s v="Debut au moins de fevrier"/>
    <m/>
    <m/>
    <m/>
    <m/>
  </r>
  <r>
    <n v="586"/>
    <s v="Khedimallah"/>
    <s v="Med Rami"/>
    <d v="2010-03-05T00:00:00"/>
    <s v="M"/>
    <n v="28228166"/>
    <n v="25140508"/>
    <s v="ziedkhedimallah@topnet.tn"/>
    <x v="1"/>
    <x v="7"/>
    <s v="( MC1)"/>
    <x v="8"/>
    <n v="1700"/>
    <m/>
    <n v="1700"/>
    <n v="850"/>
    <n v="850"/>
    <s v="Après l'aid"/>
    <m/>
    <s v="ok"/>
    <m/>
    <m/>
  </r>
  <r>
    <n v="74"/>
    <s v="Morjen"/>
    <s v="Youssef"/>
    <d v="2008-06-20T00:00:00"/>
    <s v="M"/>
    <n v="58243244"/>
    <m/>
    <m/>
    <x v="0"/>
    <x v="25"/>
    <s v="Club Junior N"/>
    <x v="7"/>
    <n v="500"/>
    <m/>
    <n v="500"/>
    <n v="500"/>
    <n v="0"/>
    <n v="0"/>
    <m/>
    <m/>
    <m/>
    <m/>
  </r>
  <r>
    <n v="75"/>
    <s v="Gabsi"/>
    <s v="Mayssa"/>
    <d v="2008-02-16T00:00:00"/>
    <s v="F"/>
    <n v="52401262"/>
    <m/>
    <m/>
    <x v="0"/>
    <x v="6"/>
    <s v="club junior"/>
    <x v="7"/>
    <n v="500"/>
    <m/>
    <n v="500"/>
    <n v="500"/>
    <n v="0"/>
    <n v="0"/>
    <m/>
    <m/>
    <m/>
    <m/>
  </r>
  <r>
    <n v="76"/>
    <s v="Almansi"/>
    <s v="Malek"/>
    <d v="2008-04-13T00:00:00"/>
    <s v="F"/>
    <n v="97134420"/>
    <m/>
    <m/>
    <x v="0"/>
    <x v="19"/>
    <m/>
    <x v="3"/>
    <n v="500"/>
    <m/>
    <n v="500"/>
    <n v="500"/>
    <n v="0"/>
    <s v="Ne répond pas"/>
    <m/>
    <m/>
    <m/>
    <m/>
  </r>
  <r>
    <n v="77"/>
    <s v="Rehif"/>
    <s v="Rayen"/>
    <d v="2008-05-28T00:00:00"/>
    <s v="M"/>
    <n v="97520898"/>
    <m/>
    <m/>
    <x v="0"/>
    <x v="15"/>
    <m/>
    <x v="12"/>
    <n v="250"/>
    <m/>
    <n v="250"/>
    <n v="250"/>
    <n v="0"/>
    <n v="0"/>
    <m/>
    <m/>
    <m/>
    <m/>
  </r>
  <r>
    <n v="78"/>
    <s v="Molinari"/>
    <s v="Nada"/>
    <d v="2008-08-21T00:00:00"/>
    <s v="F"/>
    <n v="24155107"/>
    <m/>
    <m/>
    <x v="0"/>
    <x v="14"/>
    <s v="club junior"/>
    <x v="2"/>
    <n v="500"/>
    <m/>
    <n v="500"/>
    <n v="500"/>
    <n v="0"/>
    <n v="0"/>
    <m/>
    <m/>
    <m/>
    <m/>
  </r>
  <r>
    <n v="79"/>
    <s v="Chaouech"/>
    <s v="Emna"/>
    <d v="2008-10-31T00:00:00"/>
    <s v="F"/>
    <n v="97256332"/>
    <m/>
    <m/>
    <x v="0"/>
    <x v="14"/>
    <s v="club junior"/>
    <x v="2"/>
    <n v="450"/>
    <m/>
    <n v="450"/>
    <n v="450"/>
    <n v="0"/>
    <n v="0"/>
    <m/>
    <m/>
    <m/>
    <m/>
  </r>
  <r>
    <n v="80"/>
    <s v="Smaoui"/>
    <s v="Emna"/>
    <d v="2011-10-25T00:00:00"/>
    <s v="F"/>
    <n v="20517450"/>
    <m/>
    <m/>
    <x v="0"/>
    <x v="15"/>
    <s v="club junior"/>
    <x v="12"/>
    <n v="500"/>
    <m/>
    <n v="500"/>
    <n v="500"/>
    <n v="0"/>
    <n v="0"/>
    <m/>
    <m/>
    <m/>
    <m/>
  </r>
  <r>
    <n v="81"/>
    <s v="Dallel"/>
    <s v="Mootaz Bellah"/>
    <d v="2008-02-15T00:00:00"/>
    <s v="M"/>
    <n v="97711796"/>
    <m/>
    <m/>
    <x v="0"/>
    <x v="15"/>
    <s v="club junior"/>
    <x v="12"/>
    <n v="500"/>
    <m/>
    <n v="500"/>
    <n v="500"/>
    <n v="0"/>
    <n v="0"/>
    <m/>
    <m/>
    <m/>
    <m/>
  </r>
  <r>
    <n v="82"/>
    <s v="Ben Abdallah"/>
    <s v="Aberrahmen"/>
    <d v="2008-01-28T00:00:00"/>
    <s v="M"/>
    <n v="99742511"/>
    <m/>
    <m/>
    <x v="0"/>
    <x v="4"/>
    <s v="club junior"/>
    <x v="6"/>
    <n v="500"/>
    <m/>
    <n v="500"/>
    <n v="500"/>
    <n v="0"/>
    <n v="0"/>
    <m/>
    <m/>
    <m/>
    <m/>
  </r>
  <r>
    <n v="83"/>
    <s v="Jebsi"/>
    <s v="Nermine"/>
    <d v="2008-12-17T00:00:00"/>
    <s v="F"/>
    <n v="94236247"/>
    <m/>
    <m/>
    <x v="0"/>
    <x v="4"/>
    <s v="club junior"/>
    <x v="6"/>
    <n v="500"/>
    <m/>
    <n v="500"/>
    <n v="500"/>
    <n v="0"/>
    <s v="ok"/>
    <m/>
    <m/>
    <m/>
    <m/>
  </r>
  <r>
    <n v="84"/>
    <s v="Gallas"/>
    <s v="Iyed"/>
    <d v="2008-11-27T00:00:00"/>
    <s v="M"/>
    <n v="97330489"/>
    <m/>
    <m/>
    <x v="0"/>
    <x v="0"/>
    <s v="club junior"/>
    <x v="7"/>
    <n v="0"/>
    <m/>
    <n v="0"/>
    <n v="0"/>
    <n v="0"/>
    <s v="ok"/>
    <m/>
    <m/>
    <m/>
    <m/>
  </r>
  <r>
    <n v="85"/>
    <s v="Farhat"/>
    <s v="Aicha"/>
    <d v="2007-02-23T00:00:00"/>
    <s v="F"/>
    <n v="56280000"/>
    <m/>
    <m/>
    <x v="0"/>
    <x v="15"/>
    <s v="club junior"/>
    <x v="12"/>
    <n v="500"/>
    <m/>
    <n v="500"/>
    <n v="500"/>
    <n v="0"/>
    <n v="0"/>
    <m/>
    <m/>
    <m/>
    <m/>
  </r>
  <r>
    <n v="86"/>
    <s v="Hmizi"/>
    <s v="Ahmed"/>
    <d v="2007-03-25T00:00:00"/>
    <s v="M"/>
    <n v="21947415"/>
    <m/>
    <m/>
    <x v="2"/>
    <x v="0"/>
    <m/>
    <x v="5"/>
    <n v="500"/>
    <m/>
    <n v="500"/>
    <n v="500"/>
    <n v="0"/>
    <n v="0"/>
    <m/>
    <m/>
    <m/>
    <m/>
  </r>
  <r>
    <n v="87"/>
    <s v="Belkhouja"/>
    <s v="Ouns"/>
    <d v="2008-09-12T00:00:00"/>
    <s v="F"/>
    <n v="23244355"/>
    <m/>
    <m/>
    <x v="0"/>
    <x v="6"/>
    <s v="club junior"/>
    <x v="7"/>
    <n v="500"/>
    <m/>
    <n v="500"/>
    <n v="500"/>
    <n v="0"/>
    <n v="0"/>
    <m/>
    <m/>
    <m/>
    <m/>
  </r>
  <r>
    <n v="88"/>
    <s v="Grissa"/>
    <s v="Lina"/>
    <d v="2007-04-14T00:00:00"/>
    <s v="F"/>
    <n v="29296623"/>
    <m/>
    <m/>
    <x v="0"/>
    <x v="14"/>
    <s v="club junior"/>
    <x v="2"/>
    <n v="500"/>
    <m/>
    <n v="500"/>
    <n v="500"/>
    <n v="0"/>
    <n v="0"/>
    <m/>
    <m/>
    <m/>
    <m/>
  </r>
  <r>
    <n v="302"/>
    <s v="Mouelhi"/>
    <s v="Driss"/>
    <d v="2015-12-04T00:00:00"/>
    <s v="M"/>
    <n v="97487477"/>
    <m/>
    <m/>
    <x v="1"/>
    <x v="26"/>
    <s v="( L2 C2 )"/>
    <x v="15"/>
    <n v="1200"/>
    <m/>
    <n v="1200"/>
    <n v="400"/>
    <n v="800"/>
    <n v="0"/>
    <m/>
    <s v="ok"/>
    <m/>
    <m/>
  </r>
  <r>
    <n v="90"/>
    <s v="Zmerli"/>
    <s v="Meriem"/>
    <d v="2008-12-24T00:00:00"/>
    <s v="F"/>
    <n v="98800616"/>
    <m/>
    <m/>
    <x v="2"/>
    <x v="0"/>
    <m/>
    <x v="5"/>
    <n v="500"/>
    <m/>
    <n v="500"/>
    <n v="500"/>
    <n v="0"/>
    <s v="Ne répond pas"/>
    <m/>
    <m/>
    <m/>
    <m/>
  </r>
  <r>
    <n v="91"/>
    <s v="Rouatbi"/>
    <s v="Chahed"/>
    <d v="2008-12-21T00:00:00"/>
    <s v="F"/>
    <n v="97887654"/>
    <m/>
    <m/>
    <x v="0"/>
    <x v="6"/>
    <s v="club junior"/>
    <x v="7"/>
    <n v="500"/>
    <m/>
    <n v="500"/>
    <n v="500"/>
    <n v="0"/>
    <s v="Ne répond pas"/>
    <m/>
    <m/>
    <m/>
    <m/>
  </r>
  <r>
    <n v="92"/>
    <s v="Amamou"/>
    <s v="Amine"/>
    <d v="2008-08-15T00:00:00"/>
    <s v="M"/>
    <n v="98250094"/>
    <m/>
    <m/>
    <x v="0"/>
    <x v="27"/>
    <s v="Club Junior A"/>
    <x v="3"/>
    <n v="500"/>
    <m/>
    <n v="500"/>
    <n v="500"/>
    <n v="0"/>
    <n v="0"/>
    <m/>
    <m/>
    <m/>
    <m/>
  </r>
  <r>
    <n v="93"/>
    <s v="Ben Othmen"/>
    <s v="Yassine"/>
    <d v="2007-11-30T00:00:00"/>
    <s v="M"/>
    <n v="98400108"/>
    <m/>
    <m/>
    <x v="0"/>
    <x v="19"/>
    <m/>
    <x v="3"/>
    <n v="500"/>
    <m/>
    <n v="500"/>
    <n v="500"/>
    <n v="0"/>
    <s v="ok"/>
    <m/>
    <m/>
    <m/>
    <m/>
  </r>
  <r>
    <n v="94"/>
    <s v="Aissaoui"/>
    <s v="Meriem"/>
    <d v="2007-03-22T00:00:00"/>
    <s v="F"/>
    <n v="98686366"/>
    <m/>
    <m/>
    <x v="0"/>
    <x v="15"/>
    <s v="club junior"/>
    <x v="12"/>
    <n v="500"/>
    <m/>
    <n v="500"/>
    <n v="500"/>
    <n v="0"/>
    <s v="A quité"/>
    <m/>
    <m/>
    <m/>
    <m/>
  </r>
  <r>
    <n v="549"/>
    <s v="Ayed"/>
    <s v="Mariam"/>
    <d v="2007-07-12T00:00:00"/>
    <s v="F"/>
    <n v="98536120"/>
    <n v="96085933"/>
    <m/>
    <x v="1"/>
    <x v="28"/>
    <s v=" ( C C 1)"/>
    <x v="8"/>
    <n v="1000"/>
    <m/>
    <n v="1000"/>
    <n v="730"/>
    <n v="270"/>
    <n v="0"/>
    <m/>
    <s v="ok"/>
    <m/>
    <m/>
  </r>
  <r>
    <n v="542"/>
    <s v="Boukachata"/>
    <s v="Yassine"/>
    <d v="2011-01-18T00:00:00"/>
    <s v="M"/>
    <n v="21222888"/>
    <n v="27829006"/>
    <m/>
    <x v="1"/>
    <x v="7"/>
    <s v="( MC1)"/>
    <x v="8"/>
    <n v="1700"/>
    <m/>
    <n v="1700"/>
    <n v="1000"/>
    <n v="700"/>
    <n v="0"/>
    <m/>
    <s v="ok"/>
    <m/>
    <m/>
  </r>
  <r>
    <n v="97"/>
    <s v="Zardi"/>
    <s v="Mehdi"/>
    <d v="2007-10-20T00:00:00"/>
    <s v="M"/>
    <n v="98452283"/>
    <m/>
    <m/>
    <x v="3"/>
    <x v="9"/>
    <s v="club junior"/>
    <x v="7"/>
    <n v="500"/>
    <m/>
    <n v="500"/>
    <n v="500"/>
    <n v="0"/>
    <n v="0"/>
    <m/>
    <m/>
    <m/>
    <m/>
  </r>
  <r>
    <n v="98"/>
    <s v="Denguezli"/>
    <s v="Farah"/>
    <d v="2007-02-13T00:00:00"/>
    <s v="F"/>
    <n v="98602893"/>
    <m/>
    <m/>
    <x v="0"/>
    <x v="15"/>
    <s v="club junior"/>
    <x v="12"/>
    <n v="500"/>
    <m/>
    <n v="500"/>
    <n v="500"/>
    <n v="0"/>
    <n v="0"/>
    <m/>
    <m/>
    <m/>
    <m/>
  </r>
  <r>
    <n v="99"/>
    <s v="Brahem"/>
    <s v="Aziz"/>
    <d v="2007-11-01T00:00:00"/>
    <s v="M"/>
    <n v="98402305"/>
    <m/>
    <m/>
    <x v="0"/>
    <x v="0"/>
    <s v="Club Junior DD"/>
    <x v="3"/>
    <n v="250"/>
    <m/>
    <n v="250"/>
    <n v="250"/>
    <n v="0"/>
    <n v="0"/>
    <m/>
    <m/>
    <m/>
    <m/>
  </r>
  <r>
    <n v="100"/>
    <s v="Lamiri Chakroun"/>
    <s v="Aziza"/>
    <d v="2006-05-12T00:00:00"/>
    <s v="F"/>
    <n v="98453597"/>
    <m/>
    <m/>
    <x v="4"/>
    <x v="29"/>
    <m/>
    <x v="7"/>
    <n v="500"/>
    <m/>
    <n v="500"/>
    <n v="500"/>
    <n v="0"/>
    <n v="0"/>
    <m/>
    <m/>
    <m/>
    <m/>
  </r>
  <r>
    <n v="101"/>
    <s v="Jedidi"/>
    <s v="Zeineb"/>
    <d v="2007-12-06T00:00:00"/>
    <s v="F"/>
    <s v="98430940/22280280"/>
    <m/>
    <m/>
    <x v="0"/>
    <x v="4"/>
    <s v="club junior"/>
    <x v="6"/>
    <n v="450"/>
    <m/>
    <n v="450"/>
    <n v="450"/>
    <n v="0"/>
    <s v="ok"/>
    <m/>
    <m/>
    <m/>
    <m/>
  </r>
  <r>
    <n v="102"/>
    <s v="Hassine"/>
    <s v="Meriem"/>
    <d v="2014-03-28T00:00:00"/>
    <s v="F"/>
    <n v="98525479"/>
    <m/>
    <m/>
    <x v="0"/>
    <x v="30"/>
    <s v="Poussins 2014"/>
    <x v="3"/>
    <n v="600"/>
    <m/>
    <n v="600"/>
    <n v="800"/>
    <n v="-200"/>
    <n v="0"/>
    <m/>
    <m/>
    <m/>
    <m/>
  </r>
  <r>
    <n v="103"/>
    <s v="Hmissa"/>
    <s v="Aya"/>
    <d v="2005-02-19T00:00:00"/>
    <s v="F"/>
    <n v="58334591"/>
    <m/>
    <m/>
    <x v="0"/>
    <x v="14"/>
    <s v="Club Junior DC"/>
    <x v="2"/>
    <n v="500"/>
    <m/>
    <n v="500"/>
    <n v="500"/>
    <n v="0"/>
    <n v="0"/>
    <m/>
    <m/>
    <m/>
    <m/>
  </r>
  <r>
    <n v="104"/>
    <s v="Gharbi"/>
    <s v="Rached"/>
    <d v="2008-06-26T00:00:00"/>
    <s v="M"/>
    <n v="98475495"/>
    <m/>
    <m/>
    <x v="0"/>
    <x v="19"/>
    <s v="Club Junior "/>
    <x v="3"/>
    <n v="200"/>
    <m/>
    <n v="200"/>
    <n v="200"/>
    <n v="0"/>
    <s v="Paye 100 dt"/>
    <m/>
    <m/>
    <m/>
    <m/>
  </r>
  <r>
    <n v="105"/>
    <s v="Gaied"/>
    <s v="Youssef"/>
    <d v="2005-02-20T00:00:00"/>
    <s v="M"/>
    <n v="50645541"/>
    <m/>
    <m/>
    <x v="2"/>
    <x v="0"/>
    <m/>
    <x v="5"/>
    <n v="500"/>
    <m/>
    <n v="500"/>
    <n v="500"/>
    <n v="0"/>
    <n v="0"/>
    <m/>
    <m/>
    <m/>
    <m/>
  </r>
  <r>
    <n v="106"/>
    <s v="Aloui"/>
    <s v="Med Amine"/>
    <d v="2006-07-07T00:00:00"/>
    <s v="M"/>
    <n v="96386666"/>
    <m/>
    <m/>
    <x v="0"/>
    <x v="15"/>
    <s v="Club Junior"/>
    <x v="12"/>
    <n v="500"/>
    <m/>
    <n v="500"/>
    <n v="500"/>
    <n v="0"/>
    <n v="0"/>
    <m/>
    <m/>
    <m/>
    <m/>
  </r>
  <r>
    <n v="107"/>
    <s v="Bourkhis"/>
    <s v="Islem"/>
    <d v="2006-08-10T00:00:00"/>
    <s v="F"/>
    <n v="55004564"/>
    <m/>
    <m/>
    <x v="0"/>
    <x v="31"/>
    <s v="Club Junior A"/>
    <x v="4"/>
    <n v="500"/>
    <m/>
    <n v="500"/>
    <n v="500"/>
    <n v="0"/>
    <s v="Ne répond pas"/>
    <m/>
    <m/>
    <m/>
    <m/>
  </r>
  <r>
    <n v="108"/>
    <s v="Ben Anaya"/>
    <s v="Yassine"/>
    <d v="2006-01-27T00:00:00"/>
    <s v="M"/>
    <n v="58541053"/>
    <m/>
    <m/>
    <x v="0"/>
    <x v="32"/>
    <s v="Club Junior A"/>
    <x v="16"/>
    <n v="500"/>
    <m/>
    <n v="500"/>
    <n v="500"/>
    <n v="0"/>
    <s v="Ne répond pas"/>
    <m/>
    <m/>
    <m/>
    <m/>
  </r>
  <r>
    <n v="550"/>
    <s v="Mlika"/>
    <s v="Maram"/>
    <d v="2012-03-29T00:00:00"/>
    <s v="F"/>
    <n v="98536333"/>
    <n v="94104933"/>
    <s v="mlika.moez@yahoo.fr"/>
    <x v="1"/>
    <x v="33"/>
    <m/>
    <x v="8"/>
    <n v="1000"/>
    <m/>
    <n v="1000"/>
    <n v="400"/>
    <n v="600"/>
    <s v="ok"/>
    <m/>
    <s v="ok"/>
    <m/>
    <m/>
  </r>
  <r>
    <n v="110"/>
    <s v="Abdelghani"/>
    <s v="Adem"/>
    <d v="2005-12-31T00:00:00"/>
    <s v="M"/>
    <n v="97957046"/>
    <m/>
    <m/>
    <x v="2"/>
    <x v="0"/>
    <m/>
    <x v="5"/>
    <n v="500"/>
    <m/>
    <n v="500"/>
    <n v="500"/>
    <n v="0"/>
    <n v="0"/>
    <m/>
    <m/>
    <m/>
    <m/>
  </r>
  <r>
    <n v="111"/>
    <s v="Ben Abdessalem"/>
    <s v="Mohamed"/>
    <d v="2005-07-01T00:00:00"/>
    <s v="M"/>
    <n v="97404047"/>
    <m/>
    <m/>
    <x v="0"/>
    <x v="31"/>
    <s v="Club Junior A"/>
    <x v="4"/>
    <n v="500"/>
    <m/>
    <n v="500"/>
    <n v="500"/>
    <n v="0"/>
    <s v="ok"/>
    <m/>
    <m/>
    <m/>
    <m/>
  </r>
  <r>
    <n v="587"/>
    <s v="Memmi"/>
    <s v="Farah"/>
    <d v="2016-01-07T00:00:00"/>
    <s v="F"/>
    <n v="97992422"/>
    <n v="93865630"/>
    <s v="ziedmemmi@gmail.com"/>
    <x v="1"/>
    <x v="34"/>
    <s v="( L1 C2 )"/>
    <x v="17"/>
    <n v="1000"/>
    <m/>
    <n v="1000"/>
    <n v="450"/>
    <n v="550"/>
    <s v="Après l'aid"/>
    <m/>
    <s v="A vérif"/>
    <m/>
    <m/>
  </r>
  <r>
    <n v="59"/>
    <s v="Sahloul"/>
    <s v="Med Amine"/>
    <d v="2011-09-18T00:00:00"/>
    <s v="M"/>
    <n v="58320940"/>
    <m/>
    <m/>
    <x v="0"/>
    <x v="0"/>
    <s v="Club Junior DC"/>
    <x v="2"/>
    <n v="500"/>
    <m/>
    <n v="500"/>
    <n v="0"/>
    <n v="500"/>
    <n v="0"/>
    <m/>
    <s v="Ne répond pas"/>
    <m/>
    <m/>
  </r>
  <r>
    <n v="112"/>
    <s v="Haj Kamel"/>
    <s v="Mohamed"/>
    <d v="2006-04-24T00:00:00"/>
    <s v="M"/>
    <n v="29965200"/>
    <n v="51730425"/>
    <m/>
    <x v="0"/>
    <x v="35"/>
    <s v=" ( C C 1)"/>
    <x v="18"/>
    <n v="1000"/>
    <m/>
    <n v="1000"/>
    <n v="800"/>
    <n v="200"/>
    <n v="0"/>
    <m/>
    <s v="ok"/>
    <m/>
    <m/>
  </r>
  <r>
    <n v="115"/>
    <s v="Hafsia"/>
    <s v="Hiba"/>
    <d v="2006-05-17T00:00:00"/>
    <s v="F"/>
    <n v="98529036"/>
    <m/>
    <m/>
    <x v="0"/>
    <x v="6"/>
    <s v="club junior"/>
    <x v="7"/>
    <n v="500"/>
    <m/>
    <n v="500"/>
    <n v="500"/>
    <n v="0"/>
    <n v="0"/>
    <m/>
    <m/>
    <m/>
    <m/>
  </r>
  <r>
    <n v="114"/>
    <s v="Mani"/>
    <s v="Youssef"/>
    <d v="2006-07-25T00:00:00"/>
    <s v="M"/>
    <n v="98250424"/>
    <m/>
    <m/>
    <x v="0"/>
    <x v="31"/>
    <s v="Club Junior A"/>
    <x v="4"/>
    <n v="500"/>
    <m/>
    <n v="500"/>
    <n v="0"/>
    <n v="500"/>
    <n v="0"/>
    <m/>
    <s v="Iteb Mani"/>
    <m/>
    <m/>
  </r>
  <r>
    <n v="117"/>
    <s v="Mabrouk"/>
    <s v="Alaa"/>
    <d v="2006-07-06T00:00:00"/>
    <s v="F"/>
    <n v="21224919"/>
    <m/>
    <m/>
    <x v="0"/>
    <x v="19"/>
    <m/>
    <x v="3"/>
    <n v="500"/>
    <m/>
    <n v="500"/>
    <n v="500"/>
    <n v="0"/>
    <s v="ok"/>
    <m/>
    <m/>
    <m/>
    <m/>
  </r>
  <r>
    <n v="118"/>
    <s v="Baaziz"/>
    <s v="Mohamed Youssef"/>
    <d v="2006-12-06T00:00:00"/>
    <s v="M"/>
    <n v="25651011"/>
    <m/>
    <m/>
    <x v="0"/>
    <x v="31"/>
    <m/>
    <x v="4"/>
    <n v="500"/>
    <m/>
    <n v="500"/>
    <n v="500"/>
    <n v="0"/>
    <s v="ok"/>
    <m/>
    <m/>
    <m/>
    <m/>
  </r>
  <r>
    <n v="119"/>
    <s v="Grissa"/>
    <s v="Yacine"/>
    <d v="2006-11-11T00:00:00"/>
    <s v="M"/>
    <n v="21402152"/>
    <m/>
    <m/>
    <x v="0"/>
    <x v="31"/>
    <s v="Ramzi"/>
    <x v="4"/>
    <n v="450"/>
    <m/>
    <n v="450"/>
    <n v="450"/>
    <n v="0"/>
    <s v="vient de s'inscrire"/>
    <m/>
    <m/>
    <m/>
    <m/>
  </r>
  <r>
    <n v="120"/>
    <s v="Ben Othmen"/>
    <s v="Emna"/>
    <d v="2006-08-04T00:00:00"/>
    <s v="F"/>
    <n v="98400108"/>
    <m/>
    <m/>
    <x v="2"/>
    <x v="0"/>
    <m/>
    <x v="5"/>
    <n v="500"/>
    <m/>
    <n v="500"/>
    <n v="500"/>
    <n v="0"/>
    <n v="0"/>
    <m/>
    <m/>
    <m/>
    <m/>
  </r>
  <r>
    <n v="121"/>
    <s v="Dahmen"/>
    <s v="Emna"/>
    <d v="2005-02-04T00:00:00"/>
    <s v="F"/>
    <n v="98404007"/>
    <m/>
    <m/>
    <x v="0"/>
    <x v="0"/>
    <s v="Club Junior DA"/>
    <x v="4"/>
    <n v="450"/>
    <m/>
    <n v="450"/>
    <n v="450"/>
    <n v="0"/>
    <s v="ok"/>
    <m/>
    <m/>
    <m/>
    <m/>
  </r>
  <r>
    <n v="122"/>
    <s v="Zandeh"/>
    <s v="Farah"/>
    <d v="2017-04-26T00:00:00"/>
    <s v="F"/>
    <n v="50610797"/>
    <m/>
    <m/>
    <x v="0"/>
    <x v="36"/>
    <s v="Pré-Lutins 2017 A2"/>
    <x v="19"/>
    <n v="450"/>
    <m/>
    <n v="450"/>
    <n v="450"/>
    <n v="0"/>
    <n v="0"/>
    <m/>
    <m/>
    <m/>
    <m/>
  </r>
  <r>
    <n v="227"/>
    <s v="Younes"/>
    <s v="Razan"/>
    <d v="2018-07-10T00:00:00"/>
    <s v="F"/>
    <n v="56707192"/>
    <m/>
    <m/>
    <x v="0"/>
    <x v="37"/>
    <s v="Pré-Lutins 2018"/>
    <x v="2"/>
    <n v="500"/>
    <m/>
    <n v="500"/>
    <n v="0"/>
    <n v="500"/>
    <n v="0"/>
    <m/>
    <s v="Ne répond pas"/>
    <m/>
    <m/>
  </r>
  <r>
    <n v="289"/>
    <s v="Laatiri"/>
    <s v="Aram"/>
    <d v="2016-12-08T00:00:00"/>
    <s v="M"/>
    <n v="98246189"/>
    <m/>
    <m/>
    <x v="0"/>
    <x v="38"/>
    <s v="Lutins 2015-2016 A"/>
    <x v="3"/>
    <n v="500"/>
    <m/>
    <n v="500"/>
    <n v="0"/>
    <n v="500"/>
    <n v="0"/>
    <m/>
    <s v="Ne répond pas"/>
    <m/>
    <m/>
  </r>
  <r>
    <n v="125"/>
    <s v="Ben Aziza"/>
    <s v="Linda"/>
    <d v="2017-04-11T00:00:00"/>
    <s v="F"/>
    <n v="20616967"/>
    <m/>
    <m/>
    <x v="0"/>
    <x v="0"/>
    <s v="Pré-Lutins 2017 A2"/>
    <x v="5"/>
    <n v="500"/>
    <m/>
    <n v="500"/>
    <n v="500"/>
    <n v="0"/>
    <s v="Ne répond pas"/>
    <m/>
    <m/>
    <m/>
    <m/>
  </r>
  <r>
    <n v="341"/>
    <s v="Kriaa"/>
    <s v="Rihem"/>
    <d v="1990-07-20T00:00:00"/>
    <s v="F"/>
    <n v="29668807"/>
    <m/>
    <m/>
    <x v="4"/>
    <x v="0"/>
    <m/>
    <x v="5"/>
    <n v="500"/>
    <m/>
    <n v="500"/>
    <n v="0"/>
    <n v="500"/>
    <n v="0"/>
    <m/>
    <s v="Ne répond pas"/>
    <m/>
    <m/>
  </r>
  <r>
    <n v="127"/>
    <s v="Layouni"/>
    <s v="Youssef"/>
    <d v="2018-06-30T00:00:00"/>
    <s v="M"/>
    <n v="24908974"/>
    <m/>
    <m/>
    <x v="2"/>
    <x v="0"/>
    <m/>
    <x v="5"/>
    <n v="500"/>
    <m/>
    <n v="500"/>
    <n v="500"/>
    <n v="0"/>
    <s v="Ne répond pas"/>
    <m/>
    <m/>
    <m/>
    <m/>
  </r>
  <r>
    <n v="128"/>
    <s v="Sayahi"/>
    <s v="Youssef"/>
    <d v="2018-10-27T00:00:00"/>
    <s v="M"/>
    <n v="94757001"/>
    <m/>
    <m/>
    <x v="2"/>
    <x v="0"/>
    <m/>
    <x v="5"/>
    <n v="250"/>
    <m/>
    <n v="250"/>
    <n v="250"/>
    <n v="0"/>
    <s v="Ne répond pas"/>
    <m/>
    <m/>
    <m/>
    <m/>
  </r>
  <r>
    <n v="129"/>
    <s v="Grissa"/>
    <s v="Iskander"/>
    <d v="2017-05-27T00:00:00"/>
    <s v="M"/>
    <n v="21402152"/>
    <m/>
    <m/>
    <x v="2"/>
    <x v="0"/>
    <m/>
    <x v="5"/>
    <n v="450"/>
    <m/>
    <n v="450"/>
    <n v="450"/>
    <n v="0"/>
    <n v="0"/>
    <m/>
    <m/>
    <m/>
    <m/>
  </r>
  <r>
    <n v="130"/>
    <s v="Chikhaoui"/>
    <s v="Yassmine"/>
    <d v="2017-11-13T00:00:00"/>
    <s v="F"/>
    <n v="24170000"/>
    <n v="23944555"/>
    <m/>
    <x v="0"/>
    <x v="39"/>
    <s v="Lutin 2015-2016N"/>
    <x v="15"/>
    <n v="500"/>
    <m/>
    <n v="500"/>
    <n v="500"/>
    <n v="0"/>
    <n v="0"/>
    <m/>
    <m/>
    <m/>
    <m/>
  </r>
  <r>
    <n v="131"/>
    <s v="Ammar"/>
    <s v="Adam Alexandre"/>
    <d v="2018-07-16T00:00:00"/>
    <s v="M"/>
    <n v="98195832"/>
    <m/>
    <m/>
    <x v="0"/>
    <x v="37"/>
    <s v="Pré-Lutins 2018"/>
    <x v="2"/>
    <n v="500"/>
    <m/>
    <n v="500"/>
    <n v="500"/>
    <n v="0"/>
    <n v="0"/>
    <m/>
    <m/>
    <m/>
    <m/>
  </r>
  <r>
    <n v="373"/>
    <s v="Ammar"/>
    <s v="Imen"/>
    <d v="1982-01-15T00:00:00"/>
    <s v="F"/>
    <n v="53793762"/>
    <m/>
    <m/>
    <x v="4"/>
    <x v="40"/>
    <m/>
    <x v="7"/>
    <n v="500"/>
    <m/>
    <n v="500"/>
    <n v="0"/>
    <n v="500"/>
    <n v="0"/>
    <m/>
    <s v="A quité"/>
    <m/>
    <m/>
  </r>
  <r>
    <n v="374"/>
    <s v="Ben Kalia"/>
    <s v="Med Amine"/>
    <d v="1990-09-28T00:00:00"/>
    <s v="M"/>
    <n v="94252084"/>
    <m/>
    <m/>
    <x v="4"/>
    <x v="29"/>
    <m/>
    <x v="7"/>
    <n v="500"/>
    <n v="0.1"/>
    <n v="450"/>
    <n v="450"/>
    <n v="0"/>
    <n v="0"/>
    <m/>
    <s v="Ne répond pas"/>
    <m/>
    <m/>
  </r>
  <r>
    <n v="134"/>
    <s v="Tej"/>
    <s v="Raed"/>
    <d v="2018-04-25T00:00:00"/>
    <s v="M"/>
    <n v="96325491"/>
    <m/>
    <m/>
    <x v="0"/>
    <x v="37"/>
    <s v="Pré-Lutins 2018"/>
    <x v="2"/>
    <n v="500"/>
    <m/>
    <n v="500"/>
    <n v="500"/>
    <n v="0"/>
    <s v="ok"/>
    <m/>
    <m/>
    <m/>
    <m/>
  </r>
  <r>
    <n v="135"/>
    <s v="Mlayah"/>
    <s v="Emna"/>
    <d v="2018-05-15T00:00:00"/>
    <s v="F"/>
    <n v="98404753"/>
    <m/>
    <m/>
    <x v="0"/>
    <x v="36"/>
    <s v="Lutin 2015-2016N"/>
    <x v="19"/>
    <n v="500"/>
    <m/>
    <n v="500"/>
    <n v="500"/>
    <n v="0"/>
    <s v="A quité"/>
    <m/>
    <m/>
    <m/>
    <m/>
  </r>
  <r>
    <n v="136"/>
    <s v="Langliz"/>
    <s v="Yahya"/>
    <d v="2018-04-29T00:00:00"/>
    <s v="M"/>
    <n v="53189104"/>
    <m/>
    <m/>
    <x v="0"/>
    <x v="37"/>
    <s v="Pré-Lutins 2018"/>
    <x v="2"/>
    <n v="250"/>
    <m/>
    <n v="250"/>
    <n v="250"/>
    <n v="0"/>
    <n v="0"/>
    <m/>
    <m/>
    <m/>
    <m/>
  </r>
  <r>
    <n v="137"/>
    <s v="Rekik"/>
    <s v="Ghalia"/>
    <d v="2017-04-08T00:00:00"/>
    <s v="F"/>
    <n v="55451801"/>
    <n v="53168739"/>
    <m/>
    <x v="2"/>
    <x v="0"/>
    <m/>
    <x v="5"/>
    <n v="250"/>
    <m/>
    <n v="250"/>
    <n v="250"/>
    <n v="0"/>
    <s v="A quité"/>
    <m/>
    <m/>
    <m/>
    <m/>
  </r>
  <r>
    <n v="138"/>
    <s v="Barketallah"/>
    <s v="Med Aziz"/>
    <d v="2017-05-05T00:00:00"/>
    <s v="M"/>
    <n v="98787860"/>
    <m/>
    <m/>
    <x v="2"/>
    <x v="0"/>
    <m/>
    <x v="5"/>
    <n v="450"/>
    <m/>
    <n v="450"/>
    <n v="450"/>
    <n v="0"/>
    <n v="0"/>
    <m/>
    <m/>
    <m/>
    <m/>
  </r>
  <r>
    <n v="139"/>
    <s v="Ben TEJ"/>
    <s v="Yassmine"/>
    <d v="2018-08-27T00:00:00"/>
    <s v="F"/>
    <n v="22757498"/>
    <m/>
    <m/>
    <x v="0"/>
    <x v="41"/>
    <s v="Ilhem"/>
    <x v="15"/>
    <n v="400"/>
    <m/>
    <n v="400"/>
    <n v="400"/>
    <n v="0"/>
    <n v="0"/>
    <m/>
    <m/>
    <m/>
    <m/>
  </r>
  <r>
    <n v="140"/>
    <s v="Gandouz"/>
    <s v="Meriem"/>
    <d v="2018-11-15T00:00:00"/>
    <s v="F"/>
    <n v="27926015"/>
    <m/>
    <m/>
    <x v="2"/>
    <x v="0"/>
    <m/>
    <x v="5"/>
    <n v="250"/>
    <m/>
    <n v="250"/>
    <n v="250"/>
    <n v="0"/>
    <s v="ok"/>
    <m/>
    <m/>
    <m/>
    <m/>
  </r>
  <r>
    <n v="141"/>
    <s v="Cheour"/>
    <s v="Rawen"/>
    <d v="2017-02-08T00:00:00"/>
    <s v="F"/>
    <n v="98276639"/>
    <m/>
    <m/>
    <x v="0"/>
    <x v="0"/>
    <s v="Lutins 2016-2017"/>
    <x v="4"/>
    <n v="500"/>
    <m/>
    <n v="500"/>
    <n v="500"/>
    <n v="0"/>
    <s v="ok"/>
    <m/>
    <m/>
    <m/>
    <m/>
  </r>
  <r>
    <n v="142"/>
    <s v="Kechiche"/>
    <s v="Yaacoub"/>
    <d v="2017-06-13T00:00:00"/>
    <s v="M"/>
    <n v="52882331"/>
    <m/>
    <m/>
    <x v="2"/>
    <x v="0"/>
    <m/>
    <x v="5"/>
    <n v="200"/>
    <m/>
    <n v="200"/>
    <n v="200"/>
    <n v="0"/>
    <n v="0"/>
    <m/>
    <m/>
    <m/>
    <m/>
  </r>
  <r>
    <n v="385"/>
    <s v="Hadad"/>
    <s v="Safaa"/>
    <d v="1993-03-23T00:00:00"/>
    <s v="F"/>
    <n v="52444934"/>
    <m/>
    <m/>
    <x v="4"/>
    <x v="0"/>
    <m/>
    <x v="5"/>
    <n v="500"/>
    <m/>
    <n v="500"/>
    <n v="0"/>
    <n v="500"/>
    <n v="0"/>
    <m/>
    <s v="Ne répond pas"/>
    <m/>
    <m/>
  </r>
  <r>
    <n v="144"/>
    <s v="Daouas"/>
    <s v="Seji"/>
    <d v="2019-03-07T00:00:00"/>
    <s v="M"/>
    <n v="98244080"/>
    <m/>
    <m/>
    <x v="0"/>
    <x v="0"/>
    <s v="Prélutins 2018"/>
    <x v="5"/>
    <n v="500"/>
    <m/>
    <n v="500"/>
    <n v="500"/>
    <n v="0"/>
    <s v="A quité"/>
    <m/>
    <m/>
    <m/>
    <m/>
  </r>
  <r>
    <n v="145"/>
    <s v="Bahmen"/>
    <s v="Ricène"/>
    <d v="2017-01-27T00:00:00"/>
    <s v="F"/>
    <n v="21414503"/>
    <m/>
    <m/>
    <x v="0"/>
    <x v="42"/>
    <s v="Pré-Lutins 2017 A"/>
    <x v="19"/>
    <n v="450"/>
    <m/>
    <n v="450"/>
    <n v="450"/>
    <n v="0"/>
    <s v="Ne répond pas"/>
    <m/>
    <m/>
    <m/>
    <m/>
  </r>
  <r>
    <n v="146"/>
    <s v="Belhadj Ali"/>
    <s v="Haroun"/>
    <d v="2017-11-13T00:00:00"/>
    <s v="M"/>
    <n v="20565873"/>
    <m/>
    <m/>
    <x v="0"/>
    <x v="39"/>
    <s v="Lutin 2015-2016N"/>
    <x v="15"/>
    <n v="500"/>
    <m/>
    <n v="500"/>
    <n v="500"/>
    <n v="0"/>
    <n v="0"/>
    <m/>
    <m/>
    <m/>
    <m/>
  </r>
  <r>
    <n v="147"/>
    <s v="Ben Chekaya"/>
    <s v="Jed"/>
    <d v="2017-12-30T00:00:00"/>
    <s v="M"/>
    <n v="95203345"/>
    <m/>
    <m/>
    <x v="0"/>
    <x v="43"/>
    <s v="Pré-Lutins 2017 A1"/>
    <x v="20"/>
    <n v="500"/>
    <m/>
    <n v="500"/>
    <n v="500"/>
    <n v="0"/>
    <n v="0"/>
    <m/>
    <m/>
    <m/>
    <m/>
  </r>
  <r>
    <n v="148"/>
    <s v="Doudech"/>
    <s v="Sarra"/>
    <d v="2017-05-21T00:00:00"/>
    <s v="F"/>
    <n v="29302104"/>
    <n v="96449383"/>
    <m/>
    <x v="1"/>
    <x v="44"/>
    <s v="( P L 2 )"/>
    <x v="21"/>
    <n v="800"/>
    <m/>
    <n v="800"/>
    <n v="800"/>
    <n v="0"/>
    <n v="0"/>
    <m/>
    <m/>
    <m/>
    <m/>
  </r>
  <r>
    <n v="149"/>
    <s v="Ben Ammar"/>
    <s v="Chahine"/>
    <d v="2018-07-16T00:00:00"/>
    <s v="M"/>
    <n v="22283003"/>
    <n v="23158383"/>
    <m/>
    <x v="0"/>
    <x v="0"/>
    <s v="Pré-Lutins 2018"/>
    <x v="5"/>
    <n v="250"/>
    <m/>
    <n v="250"/>
    <n v="250"/>
    <n v="0"/>
    <n v="0"/>
    <m/>
    <m/>
    <m/>
    <m/>
  </r>
  <r>
    <n v="150"/>
    <s v="Boumiza"/>
    <s v="Aziz"/>
    <d v="2018-10-18T00:00:00"/>
    <s v="M"/>
    <n v="95994512"/>
    <m/>
    <m/>
    <x v="2"/>
    <x v="0"/>
    <m/>
    <x v="5"/>
    <n v="0"/>
    <m/>
    <n v="0"/>
    <n v="0"/>
    <n v="0"/>
    <n v="0"/>
    <m/>
    <m/>
    <m/>
    <m/>
  </r>
  <r>
    <n v="151"/>
    <s v="Ben Salem"/>
    <s v="Skander"/>
    <d v="2017-06-04T00:00:00"/>
    <s v="M"/>
    <n v="23280183"/>
    <m/>
    <m/>
    <x v="0"/>
    <x v="36"/>
    <s v="Pré-Lutins 2017 A2"/>
    <x v="19"/>
    <n v="500"/>
    <m/>
    <n v="500"/>
    <n v="500"/>
    <n v="0"/>
    <s v="ok"/>
    <m/>
    <m/>
    <m/>
    <m/>
  </r>
  <r>
    <n v="152"/>
    <s v="Bouhlel"/>
    <s v=" Med Idriss"/>
    <d v="2017-05-27T00:00:00"/>
    <s v="M"/>
    <m/>
    <m/>
    <m/>
    <x v="1"/>
    <x v="45"/>
    <s v="( P L 1 )"/>
    <x v="21"/>
    <n v="800"/>
    <m/>
    <n v="800"/>
    <n v="800"/>
    <n v="0"/>
    <s v="ok"/>
    <m/>
    <m/>
    <m/>
    <m/>
  </r>
  <r>
    <n v="153"/>
    <s v="Ben hammouda"/>
    <s v="Mohamed Ilef"/>
    <d v="2018-08-29T00:00:00"/>
    <s v="M"/>
    <n v="97457260"/>
    <n v="29531298"/>
    <m/>
    <x v="0"/>
    <x v="24"/>
    <m/>
    <x v="4"/>
    <n v="250"/>
    <m/>
    <n v="250"/>
    <n v="250"/>
    <n v="0"/>
    <s v="ok"/>
    <m/>
    <m/>
    <m/>
    <m/>
  </r>
  <r>
    <n v="154"/>
    <s v="Messai"/>
    <s v="Abdelkader"/>
    <d v="2018-04-17T00:00:00"/>
    <s v="M"/>
    <n v="99811746"/>
    <m/>
    <m/>
    <x v="0"/>
    <x v="37"/>
    <s v="Pré-Lutins 2018"/>
    <x v="2"/>
    <n v="500"/>
    <m/>
    <n v="500"/>
    <n v="500"/>
    <n v="0"/>
    <s v="Sur la liste d'attente"/>
    <m/>
    <m/>
    <m/>
    <m/>
  </r>
  <r>
    <n v="155"/>
    <s v="Letaief"/>
    <s v="Mohamed Jed"/>
    <d v="2018-08-14T00:00:00"/>
    <s v="M"/>
    <n v="22167487"/>
    <n v="52171368"/>
    <m/>
    <x v="0"/>
    <x v="46"/>
    <m/>
    <x v="22"/>
    <n v="225"/>
    <m/>
    <n v="225"/>
    <n v="225"/>
    <n v="0"/>
    <n v="0"/>
    <m/>
    <m/>
    <m/>
    <m/>
  </r>
  <r>
    <n v="156"/>
    <s v="Ltaief"/>
    <s v="Lilia"/>
    <d v="2018-08-31T00:00:00"/>
    <s v="F"/>
    <n v="98933939"/>
    <m/>
    <m/>
    <x v="0"/>
    <x v="37"/>
    <s v="Pré-Lutins 2018"/>
    <x v="2"/>
    <n v="500"/>
    <m/>
    <n v="500"/>
    <n v="500"/>
    <n v="0"/>
    <n v="0"/>
    <m/>
    <m/>
    <m/>
    <m/>
  </r>
  <r>
    <n v="430"/>
    <s v="Farah"/>
    <s v="Aicha"/>
    <d v="2014-06-26T00:00:00"/>
    <s v="F"/>
    <n v="20474287"/>
    <n v="53474287"/>
    <m/>
    <x v="0"/>
    <x v="47"/>
    <s v="Poussins 2014-2015"/>
    <x v="3"/>
    <n v="500"/>
    <m/>
    <n v="500"/>
    <n v="0"/>
    <n v="500"/>
    <n v="0"/>
    <m/>
    <s v="Gratuité de la part de l'ancienne comité"/>
    <m/>
    <m/>
  </r>
  <r>
    <n v="158"/>
    <s v="Mabrouk"/>
    <s v="Dhafer"/>
    <d v="2018-01-10T00:00:00"/>
    <s v="M"/>
    <n v="24209944"/>
    <m/>
    <m/>
    <x v="0"/>
    <x v="41"/>
    <s v="Pré-Lutins 2018"/>
    <x v="15"/>
    <n v="500"/>
    <m/>
    <n v="500"/>
    <n v="500"/>
    <n v="0"/>
    <n v="0"/>
    <m/>
    <m/>
    <m/>
    <m/>
  </r>
  <r>
    <n v="159"/>
    <s v="Kaabi"/>
    <s v="Syrine"/>
    <d v="2018-09-21T00:00:00"/>
    <s v="F"/>
    <n v="98451814"/>
    <m/>
    <m/>
    <x v="0"/>
    <x v="0"/>
    <m/>
    <x v="5"/>
    <n v="0"/>
    <m/>
    <n v="0"/>
    <n v="0"/>
    <n v="0"/>
    <n v="0"/>
    <m/>
    <m/>
    <m/>
    <m/>
  </r>
  <r>
    <n v="160"/>
    <s v="Lakhdhar"/>
    <s v="Saly"/>
    <d v="2018-03-15T00:00:00"/>
    <s v="F"/>
    <n v="55300483"/>
    <m/>
    <m/>
    <x v="0"/>
    <x v="0"/>
    <s v="Prélutins 2018"/>
    <x v="5"/>
    <n v="500"/>
    <m/>
    <n v="500"/>
    <n v="500"/>
    <n v="0"/>
    <n v="0"/>
    <m/>
    <m/>
    <m/>
    <m/>
  </r>
  <r>
    <n v="161"/>
    <s v="Barbouchi"/>
    <s v="Eline"/>
    <d v="2017-01-16T00:00:00"/>
    <s v="F"/>
    <n v="98977236"/>
    <m/>
    <m/>
    <x v="0"/>
    <x v="42"/>
    <s v="Pré-Lutins 2017 A"/>
    <x v="19"/>
    <n v="500"/>
    <m/>
    <n v="500"/>
    <n v="500"/>
    <n v="0"/>
    <s v="Ne répond pas"/>
    <m/>
    <m/>
    <m/>
    <m/>
  </r>
  <r>
    <n v="162"/>
    <s v="Ben Slimen"/>
    <s v="Yacine"/>
    <d v="2019-01-12T00:00:00"/>
    <s v="M"/>
    <n v="25554551"/>
    <m/>
    <m/>
    <x v="0"/>
    <x v="41"/>
    <m/>
    <x v="15"/>
    <n v="400"/>
    <m/>
    <n v="400"/>
    <n v="400"/>
    <n v="0"/>
    <n v="0"/>
    <m/>
    <m/>
    <m/>
    <m/>
  </r>
  <r>
    <n v="163"/>
    <s v="Kedous"/>
    <s v="Lilia"/>
    <d v="2018-03-02T00:00:00"/>
    <s v="F"/>
    <n v="98827671"/>
    <m/>
    <m/>
    <x v="0"/>
    <x v="48"/>
    <s v="Pré-Lutins 2018"/>
    <x v="2"/>
    <n v="500"/>
    <m/>
    <n v="500"/>
    <n v="500"/>
    <n v="0"/>
    <s v="Ne répond pas"/>
    <m/>
    <m/>
    <m/>
    <m/>
  </r>
  <r>
    <n v="164"/>
    <s v="Dahmen"/>
    <s v="Emna"/>
    <d v="2018-07-17T00:00:00"/>
    <s v="F"/>
    <n v="29113701"/>
    <m/>
    <m/>
    <x v="0"/>
    <x v="0"/>
    <s v="Prélutins 2018"/>
    <x v="5"/>
    <n v="500"/>
    <m/>
    <n v="500"/>
    <n v="500"/>
    <n v="0"/>
    <s v="Ne répond pas"/>
    <m/>
    <m/>
    <m/>
    <m/>
  </r>
  <r>
    <n v="165"/>
    <s v="Arous"/>
    <s v="Lina"/>
    <d v="2017-12-14T00:00:00"/>
    <s v="F"/>
    <n v="55835172"/>
    <m/>
    <m/>
    <x v="0"/>
    <x v="36"/>
    <s v="Pré-Lutins 2017 A2"/>
    <x v="19"/>
    <n v="550"/>
    <m/>
    <n v="550"/>
    <n v="550"/>
    <n v="0"/>
    <s v="ok"/>
    <m/>
    <m/>
    <m/>
    <m/>
  </r>
  <r>
    <n v="166"/>
    <s v="Said"/>
    <s v="Jed"/>
    <d v="2018-11-06T00:00:00"/>
    <s v="M"/>
    <n v="26117875"/>
    <m/>
    <m/>
    <x v="0"/>
    <x v="41"/>
    <s v="Pré-Lutins 2018"/>
    <x v="15"/>
    <n v="500"/>
    <m/>
    <n v="500"/>
    <n v="500"/>
    <n v="0"/>
    <n v="0"/>
    <m/>
    <m/>
    <m/>
    <m/>
  </r>
  <r>
    <n v="167"/>
    <s v="Fekih"/>
    <s v="Baya"/>
    <d v="2017-11-17T00:00:00"/>
    <s v="F"/>
    <n v="28881034"/>
    <m/>
    <m/>
    <x v="0"/>
    <x v="49"/>
    <s v="lutin 2"/>
    <x v="4"/>
    <n v="500"/>
    <m/>
    <n v="500"/>
    <n v="500"/>
    <n v="0"/>
    <n v="0"/>
    <m/>
    <m/>
    <m/>
    <m/>
  </r>
  <r>
    <n v="168"/>
    <s v="Mani"/>
    <s v="Iyed"/>
    <d v="2018-09-10T00:00:00"/>
    <s v="M"/>
    <n v="54260584"/>
    <n v="26620405"/>
    <m/>
    <x v="0"/>
    <x v="46"/>
    <s v="Pré-Lutins 2018-"/>
    <x v="22"/>
    <n v="250"/>
    <m/>
    <n v="250"/>
    <n v="250"/>
    <n v="0"/>
    <n v="0"/>
    <m/>
    <m/>
    <m/>
    <m/>
  </r>
  <r>
    <n v="437"/>
    <s v="Mlika"/>
    <s v="Meriem"/>
    <d v="2013-12-18T00:00:00"/>
    <s v="F"/>
    <n v="98637537"/>
    <n v="22879958"/>
    <m/>
    <x v="2"/>
    <x v="0"/>
    <m/>
    <x v="5"/>
    <n v="500"/>
    <m/>
    <n v="500"/>
    <n v="0"/>
    <n v="500"/>
    <s v="animation s'est entendu avec Daoues pour avoir une gratuité"/>
    <m/>
    <m/>
    <m/>
    <m/>
  </r>
  <r>
    <n v="170"/>
    <s v="Belkhiria"/>
    <s v="Aoues"/>
    <d v="2017-03-09T00:00:00"/>
    <s v="M"/>
    <n v="97223484"/>
    <m/>
    <m/>
    <x v="0"/>
    <x v="0"/>
    <s v="Pré-Lutins 2017 A"/>
    <x v="5"/>
    <n v="500"/>
    <m/>
    <n v="500"/>
    <n v="500"/>
    <n v="0"/>
    <n v="0"/>
    <m/>
    <m/>
    <m/>
    <m/>
  </r>
  <r>
    <n v="171"/>
    <s v="Nebli"/>
    <s v="Sandra"/>
    <d v="2018-04-22T00:00:00"/>
    <s v="F"/>
    <n v="99419429"/>
    <m/>
    <m/>
    <x v="0"/>
    <x v="48"/>
    <s v="Pré-Lutins 2018"/>
    <x v="2"/>
    <n v="500"/>
    <m/>
    <n v="500"/>
    <n v="500"/>
    <n v="0"/>
    <s v="Ne répond pas"/>
    <m/>
    <m/>
    <m/>
    <m/>
  </r>
  <r>
    <n v="172"/>
    <s v="Thabet"/>
    <s v="Omar"/>
    <d v="2018-04-25T00:00:00"/>
    <s v="M"/>
    <n v="27009720"/>
    <m/>
    <m/>
    <x v="0"/>
    <x v="24"/>
    <s v="Prélutins 2018"/>
    <x v="4"/>
    <n v="450"/>
    <m/>
    <n v="450"/>
    <n v="450"/>
    <n v="0"/>
    <n v="0"/>
    <m/>
    <m/>
    <m/>
    <m/>
  </r>
  <r>
    <n v="173"/>
    <s v="essid"/>
    <s v="Zeineb"/>
    <d v="2018-10-04T00:00:00"/>
    <s v="F"/>
    <n v="98528698"/>
    <m/>
    <m/>
    <x v="2"/>
    <x v="0"/>
    <m/>
    <x v="5"/>
    <n v="450"/>
    <m/>
    <n v="450"/>
    <n v="450"/>
    <n v="0"/>
    <s v="Ne répond pas"/>
    <m/>
    <m/>
    <m/>
    <m/>
  </r>
  <r>
    <n v="174"/>
    <s v="Bouzouita"/>
    <s v="Salim"/>
    <d v="2017-02-10T00:00:00"/>
    <s v="M"/>
    <n v="23075234"/>
    <m/>
    <m/>
    <x v="0"/>
    <x v="42"/>
    <s v="Pré-Lutins 2017 A"/>
    <x v="19"/>
    <n v="400"/>
    <m/>
    <n v="400"/>
    <n v="400"/>
    <n v="0"/>
    <n v="0"/>
    <m/>
    <m/>
    <m/>
    <m/>
  </r>
  <r>
    <n v="442"/>
    <s v="Awania"/>
    <s v="Haroun"/>
    <d v="2014-02-28T00:00:00"/>
    <s v="M"/>
    <n v="92677768"/>
    <n v="22225506"/>
    <m/>
    <x v="0"/>
    <x v="50"/>
    <s v="Poussins 2014 A"/>
    <x v="3"/>
    <n v="500"/>
    <m/>
    <n v="500"/>
    <n v="0"/>
    <n v="500"/>
    <n v="0"/>
    <m/>
    <m/>
    <m/>
    <m/>
  </r>
  <r>
    <n v="508"/>
    <s v="Khlifi"/>
    <s v="Malak"/>
    <d v="2015-08-12T00:00:00"/>
    <s v="F"/>
    <n v="93228590"/>
    <m/>
    <m/>
    <x v="2"/>
    <x v="0"/>
    <m/>
    <x v="5"/>
    <n v="0"/>
    <m/>
    <n v="0"/>
    <n v="0"/>
    <n v="0"/>
    <n v="0"/>
    <m/>
    <s v="Ne joue pas"/>
    <m/>
    <m/>
  </r>
  <r>
    <n v="177"/>
    <s v="May"/>
    <s v="Rines"/>
    <d v="2018-08-17T00:00:00"/>
    <s v="F"/>
    <n v="98612303"/>
    <m/>
    <m/>
    <x v="0"/>
    <x v="46"/>
    <m/>
    <x v="22"/>
    <n v="250"/>
    <m/>
    <n v="250"/>
    <n v="250"/>
    <n v="0"/>
    <n v="0"/>
    <m/>
    <m/>
    <m/>
    <m/>
  </r>
  <r>
    <n v="570"/>
    <s v="Jelassi"/>
    <s v="Mamoun"/>
    <d v="2016-03-03T00:00:00"/>
    <s v="M"/>
    <n v="98407795"/>
    <n v="98244068"/>
    <m/>
    <x v="1"/>
    <x v="34"/>
    <s v="( L1 C3 )"/>
    <x v="17"/>
    <n v="1000"/>
    <m/>
    <n v="1000"/>
    <n v="1000"/>
    <n v="0"/>
    <n v="0"/>
    <m/>
    <s v="ok"/>
    <m/>
    <m/>
  </r>
  <r>
    <n v="179"/>
    <s v="Khelifi"/>
    <s v="Salma"/>
    <d v="2017-06-23T00:00:00"/>
    <s v="F"/>
    <m/>
    <m/>
    <m/>
    <x v="0"/>
    <x v="0"/>
    <s v="Lutin 2015-2016N"/>
    <x v="5"/>
    <n v="500"/>
    <m/>
    <n v="500"/>
    <n v="500"/>
    <n v="0"/>
    <s v="Ne répond pas"/>
    <m/>
    <m/>
    <m/>
    <m/>
  </r>
  <r>
    <n v="180"/>
    <s v="Hadj Ayed"/>
    <s v="Fatma"/>
    <d v="2019-03-04T00:00:00"/>
    <s v="F"/>
    <n v="98982214"/>
    <m/>
    <m/>
    <x v="2"/>
    <x v="0"/>
    <m/>
    <x v="5"/>
    <n v="500"/>
    <m/>
    <n v="500"/>
    <n v="500"/>
    <n v="0"/>
    <n v="0"/>
    <m/>
    <m/>
    <m/>
    <m/>
  </r>
  <r>
    <n v="628"/>
    <s v="Chahata"/>
    <s v="Med Amine"/>
    <d v="1980-09-05T00:00:00"/>
    <s v="M"/>
    <n v="23228001"/>
    <n v="98709371"/>
    <m/>
    <x v="4"/>
    <x v="51"/>
    <m/>
    <x v="15"/>
    <n v="500"/>
    <m/>
    <n v="500"/>
    <n v="0"/>
    <n v="500"/>
    <n v="0"/>
    <m/>
    <s v="Gratuité de la part de l'ancienne comité"/>
    <m/>
    <m/>
  </r>
  <r>
    <n v="182"/>
    <s v="Abid"/>
    <s v="Mayssa"/>
    <d v="2018-07-07T00:00:00"/>
    <s v="F"/>
    <n v="20235130"/>
    <m/>
    <m/>
    <x v="0"/>
    <x v="48"/>
    <s v="Pré-Lutins 2018"/>
    <x v="2"/>
    <n v="450"/>
    <m/>
    <n v="450"/>
    <n v="450"/>
    <n v="0"/>
    <n v="0"/>
    <m/>
    <m/>
    <m/>
    <m/>
  </r>
  <r>
    <n v="183"/>
    <s v="Kalboussi"/>
    <s v="Mohamed Salah"/>
    <d v="2014-07-06T00:00:00"/>
    <s v="M"/>
    <n v="97448987"/>
    <m/>
    <m/>
    <x v="0"/>
    <x v="52"/>
    <s v="Lutins 2015 A"/>
    <x v="15"/>
    <n v="500"/>
    <m/>
    <n v="500"/>
    <n v="500"/>
    <n v="0"/>
    <n v="0"/>
    <m/>
    <m/>
    <m/>
    <m/>
  </r>
  <r>
    <n v="184"/>
    <s v="Kalboussi"/>
    <s v="Moslem"/>
    <d v="2017-01-05T00:00:00"/>
    <s v="M"/>
    <n v="97448987"/>
    <n v="58820189"/>
    <m/>
    <x v="0"/>
    <x v="36"/>
    <s v="Pré-Lutins 2017 A2"/>
    <x v="19"/>
    <n v="500"/>
    <m/>
    <n v="500"/>
    <n v="500"/>
    <n v="0"/>
    <n v="0"/>
    <m/>
    <m/>
    <m/>
    <m/>
  </r>
  <r>
    <n v="185"/>
    <s v="Bouzouita"/>
    <s v="Lilia"/>
    <d v="2019-01-29T00:00:00"/>
    <s v="F"/>
    <n v="23075234"/>
    <m/>
    <m/>
    <x v="0"/>
    <x v="0"/>
    <s v="Pré-Lutins 2018-"/>
    <x v="5"/>
    <n v="500"/>
    <m/>
    <n v="500"/>
    <n v="500"/>
    <n v="0"/>
    <n v="0"/>
    <m/>
    <m/>
    <m/>
    <m/>
  </r>
  <r>
    <n v="186"/>
    <s v="Ben Kahla"/>
    <s v="Celine"/>
    <d v="2017-06-29T00:00:00"/>
    <s v="F"/>
    <n v="29460274"/>
    <m/>
    <m/>
    <x v="0"/>
    <x v="36"/>
    <s v="Pré-Lutins 2017 A2"/>
    <x v="19"/>
    <n v="500"/>
    <m/>
    <n v="500"/>
    <n v="500"/>
    <n v="0"/>
    <s v="ok"/>
    <m/>
    <m/>
    <m/>
    <m/>
  </r>
  <r>
    <n v="187"/>
    <s v="Laaribi"/>
    <s v="Julia"/>
    <d v="2018-08-22T00:00:00"/>
    <s v="F"/>
    <n v="21162882"/>
    <m/>
    <m/>
    <x v="0"/>
    <x v="0"/>
    <s v="Pré-Lutins 2018-"/>
    <x v="5"/>
    <n v="500"/>
    <m/>
    <n v="500"/>
    <n v="500"/>
    <n v="0"/>
    <n v="0"/>
    <m/>
    <m/>
    <m/>
    <m/>
  </r>
  <r>
    <n v="188"/>
    <s v="Bouthlija"/>
    <s v="Baya"/>
    <d v="2017-03-01T00:00:00"/>
    <s v="F"/>
    <n v="58409380"/>
    <m/>
    <m/>
    <x v="0"/>
    <x v="49"/>
    <s v="Lutins 2016-2017"/>
    <x v="4"/>
    <n v="500"/>
    <m/>
    <n v="500"/>
    <n v="500"/>
    <n v="0"/>
    <s v="Rembourser l'argent"/>
    <m/>
    <m/>
    <m/>
    <m/>
  </r>
  <r>
    <n v="189"/>
    <s v="Khechine"/>
    <s v="Malek"/>
    <d v="2017-02-24T00:00:00"/>
    <s v="M"/>
    <n v="58335796"/>
    <m/>
    <m/>
    <x v="0"/>
    <x v="53"/>
    <s v="Pré-lutins 2016 N"/>
    <x v="4"/>
    <n v="450"/>
    <m/>
    <n v="450"/>
    <n v="450"/>
    <n v="0"/>
    <s v="Ne répond pas"/>
    <m/>
    <m/>
    <m/>
    <m/>
  </r>
  <r>
    <n v="190"/>
    <s v="Ben Soussia"/>
    <s v="Zeineb"/>
    <d v="2018-02-18T00:00:00"/>
    <s v="F"/>
    <n v="56833248"/>
    <m/>
    <m/>
    <x v="0"/>
    <x v="48"/>
    <s v="prélutins2018"/>
    <x v="2"/>
    <n v="500"/>
    <m/>
    <n v="500"/>
    <n v="500"/>
    <n v="0"/>
    <s v="Ne répond pas"/>
    <m/>
    <m/>
    <m/>
    <m/>
  </r>
  <r>
    <n v="668"/>
    <s v="Bettaieb"/>
    <s v="Zeineb"/>
    <m/>
    <s v="F"/>
    <m/>
    <m/>
    <m/>
    <x v="0"/>
    <x v="42"/>
    <s v="Pré-Lutins 2017 A"/>
    <x v="19"/>
    <n v="500"/>
    <m/>
    <n v="500"/>
    <n v="0"/>
    <n v="500"/>
    <e v="#N/A"/>
    <m/>
    <m/>
    <m/>
    <m/>
  </r>
  <r>
    <n v="192"/>
    <s v="Mosbahi"/>
    <s v="Dorra"/>
    <d v="2019-05-17T00:00:00"/>
    <s v="F"/>
    <n v="27227711"/>
    <m/>
    <m/>
    <x v="0"/>
    <x v="0"/>
    <s v="Pré-Lutins 2018-"/>
    <x v="5"/>
    <n v="200"/>
    <m/>
    <n v="200"/>
    <n v="200"/>
    <n v="0"/>
    <n v="0"/>
    <m/>
    <m/>
    <m/>
    <m/>
  </r>
  <r>
    <n v="132"/>
    <s v="Jammeli"/>
    <s v="Celine"/>
    <d v="2017-01-02T00:00:00"/>
    <s v="F"/>
    <n v="55400013"/>
    <m/>
    <m/>
    <x v="0"/>
    <x v="0"/>
    <s v="Lutins 2016-2017"/>
    <x v="4"/>
    <n v="0"/>
    <m/>
    <n v="0"/>
    <n v="0"/>
    <n v="0"/>
    <s v="A quité"/>
    <m/>
    <s v="A quité"/>
    <m/>
    <m/>
  </r>
  <r>
    <n v="194"/>
    <s v="Dziri"/>
    <s v="Jana"/>
    <d v="2018-08-11T00:00:00"/>
    <s v="F"/>
    <n v="22743855"/>
    <m/>
    <m/>
    <x v="2"/>
    <x v="0"/>
    <m/>
    <x v="5"/>
    <n v="0"/>
    <m/>
    <n v="0"/>
    <n v="0"/>
    <n v="0"/>
    <s v="ok"/>
    <m/>
    <m/>
    <m/>
    <m/>
  </r>
  <r>
    <n v="133"/>
    <s v="Jammeli"/>
    <s v="Sandra"/>
    <d v="2017-01-02T00:00:00"/>
    <s v="F"/>
    <n v="55400013"/>
    <m/>
    <m/>
    <x v="0"/>
    <x v="0"/>
    <s v="Lutins 2016-2017"/>
    <x v="4"/>
    <n v="400"/>
    <m/>
    <n v="400"/>
    <n v="0"/>
    <n v="400"/>
    <n v="0"/>
    <m/>
    <s v="A quité"/>
    <m/>
    <m/>
  </r>
  <r>
    <n v="196"/>
    <s v="Chahata"/>
    <s v="Med Yacine"/>
    <d v="2018-01-02T00:00:00"/>
    <s v="M"/>
    <n v="21667344"/>
    <m/>
    <m/>
    <x v="0"/>
    <x v="41"/>
    <m/>
    <x v="15"/>
    <n v="500"/>
    <m/>
    <n v="500"/>
    <n v="500"/>
    <n v="0"/>
    <n v="0"/>
    <m/>
    <m/>
    <m/>
    <m/>
  </r>
  <r>
    <n v="197"/>
    <s v="Mrad"/>
    <s v="Emna"/>
    <d v="2015-08-25T00:00:00"/>
    <s v="F"/>
    <n v="98403825"/>
    <m/>
    <m/>
    <x v="0"/>
    <x v="40"/>
    <s v="Lutins 2015-2016N"/>
    <x v="7"/>
    <n v="500"/>
    <m/>
    <n v="500"/>
    <n v="500"/>
    <n v="0"/>
    <n v="0"/>
    <m/>
    <m/>
    <m/>
    <m/>
  </r>
  <r>
    <n v="198"/>
    <s v="Arous"/>
    <s v="Ahmed"/>
    <d v="2017-07-15T00:00:00"/>
    <s v="M"/>
    <n v="20229326"/>
    <m/>
    <m/>
    <x v="2"/>
    <x v="0"/>
    <m/>
    <x v="5"/>
    <n v="0"/>
    <m/>
    <n v="0"/>
    <n v="0"/>
    <n v="0"/>
    <n v="0"/>
    <m/>
    <m/>
    <m/>
    <m/>
  </r>
  <r>
    <n v="199"/>
    <s v="Romdhani"/>
    <s v="Yara"/>
    <d v="2018-04-06T00:00:00"/>
    <s v="F"/>
    <n v="24304791"/>
    <m/>
    <m/>
    <x v="5"/>
    <x v="37"/>
    <m/>
    <x v="2"/>
    <n v="500"/>
    <m/>
    <n v="500"/>
    <n v="500"/>
    <n v="0"/>
    <n v="0"/>
    <m/>
    <m/>
    <m/>
    <m/>
  </r>
  <r>
    <n v="200"/>
    <s v="Ben Mime"/>
    <s v="Salma"/>
    <d v="2017-03-14T00:00:00"/>
    <s v="F"/>
    <m/>
    <m/>
    <m/>
    <x v="0"/>
    <x v="43"/>
    <s v="Pré-Lutins 2017 A1"/>
    <x v="19"/>
    <n v="450"/>
    <m/>
    <n v="450"/>
    <n v="450"/>
    <n v="0"/>
    <s v="Ne répond pas"/>
    <m/>
    <m/>
    <m/>
    <m/>
  </r>
  <r>
    <n v="201"/>
    <s v="Chabaane"/>
    <s v="Mourad"/>
    <d v="2018-10-01T00:00:00"/>
    <s v="M"/>
    <n v="98581723"/>
    <m/>
    <m/>
    <x v="0"/>
    <x v="41"/>
    <s v="Ilhem"/>
    <x v="15"/>
    <n v="450"/>
    <m/>
    <n v="450"/>
    <n v="450"/>
    <n v="0"/>
    <s v="ok"/>
    <m/>
    <m/>
    <m/>
    <m/>
  </r>
  <r>
    <n v="202"/>
    <s v="Mlika"/>
    <s v="Hedi"/>
    <d v="2017-09-29T00:00:00"/>
    <s v="M"/>
    <n v="97453737"/>
    <m/>
    <m/>
    <x v="0"/>
    <x v="42"/>
    <s v="Pré-Lutins 2017 A"/>
    <x v="19"/>
    <n v="500"/>
    <m/>
    <n v="500"/>
    <n v="500"/>
    <n v="0"/>
    <s v="ok"/>
    <m/>
    <m/>
    <m/>
    <m/>
  </r>
  <r>
    <n v="203"/>
    <s v="Mhiri"/>
    <s v="Nadine"/>
    <d v="2018-05-08T00:00:00"/>
    <s v="F"/>
    <n v="98292145"/>
    <m/>
    <m/>
    <x v="0"/>
    <x v="43"/>
    <s v="Pré-Lutins 2017 A1"/>
    <x v="19"/>
    <n v="450"/>
    <m/>
    <n v="450"/>
    <n v="450"/>
    <n v="0"/>
    <n v="0"/>
    <m/>
    <m/>
    <m/>
    <m/>
  </r>
  <r>
    <n v="330"/>
    <s v="Koubaier"/>
    <s v="Wissem"/>
    <d v="1976-10-10T00:00:00"/>
    <s v="M"/>
    <n v="98292004"/>
    <m/>
    <m/>
    <x v="4"/>
    <x v="29"/>
    <m/>
    <x v="7"/>
    <n v="500"/>
    <m/>
    <n v="500"/>
    <n v="100"/>
    <n v="400"/>
    <n v="0"/>
    <m/>
    <s v="A quité"/>
    <m/>
    <m/>
  </r>
  <r>
    <n v="205"/>
    <s v="Toumi"/>
    <s v="Kenza"/>
    <d v="2018-12-10T00:00:00"/>
    <s v="F"/>
    <n v="52960400"/>
    <m/>
    <m/>
    <x v="2"/>
    <x v="0"/>
    <m/>
    <x v="5"/>
    <n v="250"/>
    <m/>
    <n v="250"/>
    <n v="250"/>
    <n v="0"/>
    <n v="0"/>
    <m/>
    <m/>
    <m/>
    <m/>
  </r>
  <r>
    <n v="351"/>
    <s v="Ktita"/>
    <s v="Achref"/>
    <d v="1984-08-15T00:00:00"/>
    <s v="M"/>
    <n v="97597424"/>
    <m/>
    <m/>
    <x v="4"/>
    <x v="51"/>
    <m/>
    <x v="15"/>
    <n v="600"/>
    <m/>
    <n v="600"/>
    <n v="200"/>
    <n v="400"/>
    <n v="0"/>
    <m/>
    <s v="Ne répond pas"/>
    <m/>
    <m/>
  </r>
  <r>
    <n v="207"/>
    <s v="Mnasser"/>
    <s v="Zakaria"/>
    <d v="2017-02-23T00:00:00"/>
    <s v="M"/>
    <n v="52799779"/>
    <m/>
    <m/>
    <x v="0"/>
    <x v="0"/>
    <s v="Pré-Lutins 2017 A2"/>
    <x v="5"/>
    <n v="500"/>
    <n v="0.1"/>
    <n v="450"/>
    <n v="450"/>
    <n v="0"/>
    <s v="Ne répond pas"/>
    <m/>
    <m/>
    <m/>
    <m/>
  </r>
  <r>
    <n v="208"/>
    <s v="Thabet"/>
    <s v="Alya"/>
    <d v="2018-04-23T00:00:00"/>
    <s v="F"/>
    <n v="55272912"/>
    <m/>
    <m/>
    <x v="0"/>
    <x v="24"/>
    <s v="Prélutins 2018"/>
    <x v="4"/>
    <n v="500"/>
    <m/>
    <n v="500"/>
    <n v="500"/>
    <n v="0"/>
    <s v="Ne répond pas"/>
    <m/>
    <m/>
    <m/>
    <m/>
  </r>
  <r>
    <n v="209"/>
    <s v="Chabaane"/>
    <s v="Hajer"/>
    <d v="2018-10-01T00:00:00"/>
    <s v="F"/>
    <n v="98581723"/>
    <m/>
    <m/>
    <x v="0"/>
    <x v="0"/>
    <s v="Pré-Lutins 2018"/>
    <x v="5"/>
    <n v="450"/>
    <m/>
    <n v="450"/>
    <n v="450"/>
    <n v="0"/>
    <n v="0"/>
    <m/>
    <m/>
    <m/>
    <m/>
  </r>
  <r>
    <n v="210"/>
    <s v="Mekki"/>
    <s v="Meriem"/>
    <d v="2018-08-20T00:00:00"/>
    <s v="F"/>
    <n v="52393518"/>
    <m/>
    <m/>
    <x v="2"/>
    <x v="0"/>
    <m/>
    <x v="5"/>
    <n v="250"/>
    <m/>
    <n v="250"/>
    <n v="250"/>
    <n v="0"/>
    <n v="0"/>
    <m/>
    <m/>
    <m/>
    <m/>
  </r>
  <r>
    <n v="526"/>
    <s v="Mlaheg"/>
    <s v="samer"/>
    <d v="2008-01-08T00:00:00"/>
    <s v="M"/>
    <n v="98292036"/>
    <n v="97888225"/>
    <m/>
    <x v="1"/>
    <x v="28"/>
    <s v=" ( C C 1)"/>
    <x v="8"/>
    <n v="1000"/>
    <m/>
    <n v="1000"/>
    <n v="700"/>
    <n v="300"/>
    <n v="0"/>
    <m/>
    <s v="ok"/>
    <m/>
    <m/>
  </r>
  <r>
    <n v="529"/>
    <s v="Boumiza"/>
    <s v="Younes"/>
    <d v="2015-07-25T00:00:00"/>
    <s v="M"/>
    <n v="54243281"/>
    <n v="50980820"/>
    <m/>
    <x v="1"/>
    <x v="26"/>
    <s v="( L2 C2 )"/>
    <x v="15"/>
    <n v="1200"/>
    <m/>
    <n v="1200"/>
    <n v="1050"/>
    <n v="150"/>
    <n v="0"/>
    <m/>
    <s v="ok"/>
    <m/>
    <m/>
  </r>
  <r>
    <n v="285"/>
    <s v="Khardeni"/>
    <s v="Aser"/>
    <d v="2016-12-12T00:00:00"/>
    <s v="M"/>
    <n v="96040408"/>
    <n v="98327822"/>
    <m/>
    <x v="0"/>
    <x v="39"/>
    <s v="Lutin 2015-2016N"/>
    <x v="15"/>
    <n v="500"/>
    <m/>
    <n v="500"/>
    <n v="500"/>
    <n v="0"/>
    <n v="0"/>
    <m/>
    <s v="ok"/>
    <m/>
    <m/>
  </r>
  <r>
    <n v="214"/>
    <s v="Abid"/>
    <s v="Lina"/>
    <d v="2015-05-09T00:00:00"/>
    <s v="F"/>
    <n v="20235130"/>
    <m/>
    <m/>
    <x v="0"/>
    <x v="21"/>
    <s v="Benjamins N"/>
    <x v="7"/>
    <n v="450"/>
    <m/>
    <n v="450"/>
    <n v="450"/>
    <n v="0"/>
    <s v="ok"/>
    <m/>
    <m/>
    <m/>
    <m/>
  </r>
  <r>
    <n v="215"/>
    <s v="Barketallah"/>
    <s v="Sofia"/>
    <d v="2015-05-27T00:00:00"/>
    <s v="F"/>
    <n v="98787860"/>
    <m/>
    <m/>
    <x v="0"/>
    <x v="0"/>
    <s v="Lutin 2015-2016N"/>
    <x v="5"/>
    <n v="450"/>
    <m/>
    <n v="450"/>
    <n v="450"/>
    <n v="0"/>
    <n v="0"/>
    <m/>
    <m/>
    <m/>
    <m/>
  </r>
  <r>
    <n v="216"/>
    <s v="Becheur"/>
    <s v="Selima"/>
    <d v="2017-12-14T00:00:00"/>
    <s v="F"/>
    <n v="53507000"/>
    <m/>
    <m/>
    <x v="0"/>
    <x v="48"/>
    <s v="Pré-Lutins 2018"/>
    <x v="2"/>
    <n v="500"/>
    <m/>
    <n v="500"/>
    <n v="500"/>
    <n v="0"/>
    <n v="0"/>
    <m/>
    <m/>
    <m/>
    <m/>
  </r>
  <r>
    <n v="217"/>
    <s v="Guedri"/>
    <s v="Emna"/>
    <d v="2017-06-13T00:00:00"/>
    <s v="F"/>
    <n v="56603799"/>
    <m/>
    <m/>
    <x v="0"/>
    <x v="43"/>
    <s v="Pré-Lutins 2017 A1"/>
    <x v="19"/>
    <n v="500"/>
    <m/>
    <n v="500"/>
    <n v="500"/>
    <n v="0"/>
    <n v="0"/>
    <m/>
    <m/>
    <m/>
    <m/>
  </r>
  <r>
    <n v="218"/>
    <s v="Ben Mokhtar"/>
    <s v="Mohamed"/>
    <d v="2017-06-16T00:00:00"/>
    <s v="M"/>
    <n v="20973999"/>
    <n v="25677675"/>
    <m/>
    <x v="2"/>
    <x v="0"/>
    <m/>
    <x v="5"/>
    <m/>
    <m/>
    <n v="0"/>
    <n v="0"/>
    <n v="0"/>
    <n v="0"/>
    <m/>
    <m/>
    <m/>
    <m/>
  </r>
  <r>
    <n v="353"/>
    <s v="Hajaj"/>
    <s v="Melek"/>
    <d v="1993-05-01T00:00:00"/>
    <s v="M"/>
    <n v="53775574"/>
    <m/>
    <m/>
    <x v="4"/>
    <x v="0"/>
    <m/>
    <x v="5"/>
    <n v="500"/>
    <m/>
    <n v="500"/>
    <n v="150"/>
    <n v="350"/>
    <n v="0"/>
    <m/>
    <s v="Ne répond pas"/>
    <m/>
    <m/>
  </r>
  <r>
    <n v="220"/>
    <s v="Bouzidi"/>
    <s v="Dina"/>
    <d v="2017-11-22T00:00:00"/>
    <s v="F"/>
    <n v="98665686"/>
    <m/>
    <m/>
    <x v="0"/>
    <x v="53"/>
    <s v="Pré-lutins 2016 N"/>
    <x v="4"/>
    <n v="400"/>
    <m/>
    <n v="400"/>
    <n v="400"/>
    <n v="0"/>
    <s v="ok"/>
    <m/>
    <m/>
    <m/>
    <m/>
  </r>
  <r>
    <n v="221"/>
    <s v="Dhmiri"/>
    <s v="Idris"/>
    <d v="2018-10-05T00:00:00"/>
    <s v="M"/>
    <n v="97594334"/>
    <m/>
    <m/>
    <x v="2"/>
    <x v="0"/>
    <m/>
    <x v="5"/>
    <n v="200"/>
    <m/>
    <n v="200"/>
    <n v="200"/>
    <n v="0"/>
    <s v="Ne répond pas"/>
    <m/>
    <m/>
    <m/>
    <m/>
  </r>
  <r>
    <n v="222"/>
    <s v="Mallessi"/>
    <s v="Yazid"/>
    <d v="2018-04-05T00:00:00"/>
    <s v="M"/>
    <n v="22017136"/>
    <m/>
    <m/>
    <x v="0"/>
    <x v="0"/>
    <s v="Pré-Lutins 2018-"/>
    <x v="5"/>
    <n v="250"/>
    <m/>
    <n v="250"/>
    <n v="250"/>
    <n v="0"/>
    <s v="ok"/>
    <m/>
    <m/>
    <m/>
    <m/>
  </r>
  <r>
    <n v="223"/>
    <s v="Letaief"/>
    <s v="Jouri"/>
    <d v="2018-08-14T00:00:00"/>
    <s v="F"/>
    <n v="22167487"/>
    <m/>
    <m/>
    <x v="0"/>
    <x v="46"/>
    <s v="Pré-Lutins 2018-"/>
    <x v="22"/>
    <n v="225"/>
    <m/>
    <n v="225"/>
    <n v="225"/>
    <n v="0"/>
    <n v="0"/>
    <m/>
    <m/>
    <m/>
    <m/>
  </r>
  <r>
    <n v="354"/>
    <s v="Dhawadi"/>
    <s v="Abednour"/>
    <d v="1988-01-14T00:00:00"/>
    <s v="M"/>
    <n v="27727717"/>
    <m/>
    <m/>
    <x v="4"/>
    <x v="54"/>
    <m/>
    <x v="6"/>
    <n v="300"/>
    <m/>
    <n v="300"/>
    <n v="300"/>
    <n v="0"/>
    <n v="0"/>
    <m/>
    <s v="Ne répond pas"/>
    <m/>
    <m/>
  </r>
  <r>
    <n v="225"/>
    <s v="Twil"/>
    <s v="Iline"/>
    <d v="2018-04-21T00:00:00"/>
    <s v="F"/>
    <n v="98761345"/>
    <m/>
    <m/>
    <x v="0"/>
    <x v="48"/>
    <s v="Pré-Lutins 2018"/>
    <x v="2"/>
    <n v="500"/>
    <m/>
    <n v="500"/>
    <n v="500"/>
    <n v="0"/>
    <n v="0"/>
    <m/>
    <m/>
    <m/>
    <m/>
  </r>
  <r>
    <n v="362"/>
    <s v="Chtioui"/>
    <s v="Melek"/>
    <d v="1999-03-02T00:00:00"/>
    <s v="M"/>
    <n v="24246211"/>
    <m/>
    <m/>
    <x v="4"/>
    <x v="0"/>
    <m/>
    <x v="5"/>
    <n v="500"/>
    <m/>
    <n v="500"/>
    <n v="150"/>
    <n v="350"/>
    <n v="0"/>
    <m/>
    <s v="Ne répond pas"/>
    <m/>
    <m/>
  </r>
  <r>
    <n v="397"/>
    <s v="Ben Romdhane"/>
    <s v="Azza"/>
    <d v="2010-08-12T00:00:00"/>
    <s v="F"/>
    <n v="99436117"/>
    <m/>
    <m/>
    <x v="2"/>
    <x v="0"/>
    <m/>
    <x v="5"/>
    <n v="500"/>
    <m/>
    <n v="500"/>
    <n v="150"/>
    <n v="350"/>
    <n v="0"/>
    <m/>
    <s v="Ne répond pas"/>
    <m/>
    <m/>
  </r>
  <r>
    <n v="228"/>
    <s v="Guiben"/>
    <s v="Ahmed"/>
    <d v="2017-06-07T00:00:00"/>
    <s v="M"/>
    <n v="23918220"/>
    <m/>
    <m/>
    <x v="0"/>
    <x v="42"/>
    <s v="Pré-Lutins 2017 A"/>
    <x v="20"/>
    <n v="500"/>
    <m/>
    <n v="500"/>
    <n v="500"/>
    <n v="0"/>
    <n v="0"/>
    <m/>
    <m/>
    <m/>
    <m/>
  </r>
  <r>
    <n v="229"/>
    <s v="Ben Hafsa"/>
    <s v="Aya"/>
    <d v="2018-06-03T00:00:00"/>
    <s v="F"/>
    <n v="95768722"/>
    <m/>
    <m/>
    <x v="0"/>
    <x v="37"/>
    <s v="Pré-Lutins 2018"/>
    <x v="2"/>
    <n v="500"/>
    <m/>
    <n v="500"/>
    <n v="500"/>
    <n v="0"/>
    <n v="0"/>
    <m/>
    <m/>
    <m/>
    <m/>
  </r>
  <r>
    <n v="230"/>
    <s v="Ben Mokhtar"/>
    <s v="Kamel"/>
    <d v="2017-06-16T00:00:00"/>
    <s v="M"/>
    <n v="20973999"/>
    <n v="25677675"/>
    <m/>
    <x v="2"/>
    <x v="0"/>
    <m/>
    <x v="5"/>
    <m/>
    <m/>
    <n v="0"/>
    <n v="0"/>
    <n v="0"/>
    <s v="Ne répond pas"/>
    <m/>
    <m/>
    <m/>
    <m/>
  </r>
  <r>
    <n v="231"/>
    <s v="Nebli"/>
    <s v="Elyne"/>
    <d v="2018-03-28T00:00:00"/>
    <s v="F"/>
    <n v="21505303"/>
    <m/>
    <m/>
    <x v="2"/>
    <x v="0"/>
    <m/>
    <x v="5"/>
    <n v="0"/>
    <m/>
    <n v="0"/>
    <n v="0"/>
    <n v="0"/>
    <n v="0"/>
    <m/>
    <m/>
    <m/>
    <m/>
  </r>
  <r>
    <n v="232"/>
    <s v="Denero"/>
    <s v="Mickel Youssef"/>
    <d v="2015-12-25T00:00:00"/>
    <s v="M"/>
    <n v="55785304"/>
    <m/>
    <m/>
    <x v="0"/>
    <x v="12"/>
    <m/>
    <x v="11"/>
    <n v="300"/>
    <m/>
    <n v="300"/>
    <n v="300"/>
    <n v="0"/>
    <n v="0"/>
    <m/>
    <m/>
    <m/>
    <m/>
  </r>
  <r>
    <n v="233"/>
    <s v="Chabaane"/>
    <s v="Fatma Zahra"/>
    <d v="2016-10-19T00:00:00"/>
    <s v="F"/>
    <n v="98581723"/>
    <m/>
    <m/>
    <x v="0"/>
    <x v="38"/>
    <s v="Lutins 2015-2016 A"/>
    <x v="3"/>
    <n v="450"/>
    <m/>
    <n v="450"/>
    <n v="450"/>
    <n v="0"/>
    <n v="0"/>
    <m/>
    <m/>
    <m/>
    <m/>
  </r>
  <r>
    <n v="234"/>
    <s v="Ben Abdallah"/>
    <s v="Selima"/>
    <d v="2015-03-15T00:00:00"/>
    <s v="F"/>
    <n v="98312657"/>
    <m/>
    <m/>
    <x v="0"/>
    <x v="40"/>
    <s v="Lutins 2015-2016N"/>
    <x v="7"/>
    <n v="450"/>
    <m/>
    <n v="450"/>
    <n v="450"/>
    <n v="0"/>
    <n v="0"/>
    <m/>
    <m/>
    <m/>
    <m/>
  </r>
  <r>
    <n v="492"/>
    <s v="Ben Dhifallah"/>
    <s v="Aycha"/>
    <d v="2013-06-30T00:00:00"/>
    <s v="F"/>
    <n v="20333212"/>
    <m/>
    <m/>
    <x v="0"/>
    <x v="50"/>
    <s v="Poussins 2014 A"/>
    <x v="3"/>
    <n v="500"/>
    <m/>
    <n v="500"/>
    <n v="150"/>
    <n v="350"/>
    <n v="0"/>
    <m/>
    <s v="Ne répond pas"/>
    <m/>
    <m/>
  </r>
  <r>
    <n v="236"/>
    <s v="Chabbah"/>
    <s v="Mohamad Joud"/>
    <d v="2016-11-06T00:00:00"/>
    <s v="M"/>
    <n v="98528583"/>
    <m/>
    <m/>
    <x v="0"/>
    <x v="55"/>
    <s v="Lutins 2015-2016 N"/>
    <x v="6"/>
    <n v="500"/>
    <m/>
    <n v="500"/>
    <n v="500"/>
    <n v="0"/>
    <n v="0"/>
    <m/>
    <m/>
    <m/>
    <m/>
  </r>
  <r>
    <n v="237"/>
    <s v="Chabbah"/>
    <s v="Meriem Jouri"/>
    <d v="2016-11-06T00:00:00"/>
    <s v="F"/>
    <n v="98528583"/>
    <m/>
    <m/>
    <x v="0"/>
    <x v="55"/>
    <s v="Lutins 2015-2016 N"/>
    <x v="6"/>
    <n v="500"/>
    <m/>
    <n v="500"/>
    <n v="500"/>
    <n v="0"/>
    <n v="0"/>
    <m/>
    <m/>
    <m/>
    <m/>
  </r>
  <r>
    <n v="238"/>
    <s v="Brahem"/>
    <s v="Kenza"/>
    <d v="2016-06-28T00:00:00"/>
    <s v="F"/>
    <n v="98826034"/>
    <m/>
    <m/>
    <x v="0"/>
    <x v="48"/>
    <s v="Lutin 2015-2016N"/>
    <x v="2"/>
    <n v="500"/>
    <m/>
    <n v="500"/>
    <n v="500"/>
    <n v="0"/>
    <n v="0"/>
    <m/>
    <m/>
    <m/>
    <m/>
  </r>
  <r>
    <n v="239"/>
    <s v="Aguir"/>
    <s v="Ranim"/>
    <d v="2015-09-10T00:00:00"/>
    <s v="F"/>
    <n v="98276489"/>
    <m/>
    <m/>
    <x v="0"/>
    <x v="0"/>
    <s v="Lutin 2015-2016N"/>
    <x v="5"/>
    <n v="250"/>
    <m/>
    <n v="250"/>
    <n v="250"/>
    <n v="0"/>
    <s v="ok"/>
    <m/>
    <m/>
    <m/>
    <m/>
  </r>
  <r>
    <n v="240"/>
    <s v="Boudabous"/>
    <s v="Kenza"/>
    <d v="2015-05-14T00:00:00"/>
    <s v="F"/>
    <n v="28826118"/>
    <m/>
    <m/>
    <x v="0"/>
    <x v="49"/>
    <s v="Lutin 2015-2016N"/>
    <x v="4"/>
    <n v="500"/>
    <m/>
    <n v="500"/>
    <n v="500"/>
    <n v="0"/>
    <n v="0"/>
    <m/>
    <m/>
    <m/>
    <m/>
  </r>
  <r>
    <n v="241"/>
    <s v="Daouas"/>
    <s v="Zaineb"/>
    <d v="2016-02-15T00:00:00"/>
    <s v="F"/>
    <n v="98536250"/>
    <m/>
    <m/>
    <x v="0"/>
    <x v="0"/>
    <s v="Lutin 2015-2016N"/>
    <x v="5"/>
    <n v="450"/>
    <m/>
    <n v="450"/>
    <n v="450"/>
    <n v="0"/>
    <s v="ok"/>
    <m/>
    <m/>
    <m/>
    <m/>
  </r>
  <r>
    <n v="242"/>
    <s v="Ben Romdhane"/>
    <s v="Eline"/>
    <d v="2015-06-02T00:00:00"/>
    <s v="F"/>
    <n v="98528345"/>
    <m/>
    <m/>
    <x v="0"/>
    <x v="53"/>
    <s v="Pré-lutins 2016 N"/>
    <x v="4"/>
    <n v="450"/>
    <m/>
    <n v="450"/>
    <n v="450"/>
    <n v="0"/>
    <n v="0"/>
    <m/>
    <m/>
    <m/>
    <m/>
  </r>
  <r>
    <n v="243"/>
    <s v="Laatiri"/>
    <s v="Kinen"/>
    <d v="2015-03-09T00:00:00"/>
    <s v="M"/>
    <n v="97327190"/>
    <m/>
    <m/>
    <x v="0"/>
    <x v="50"/>
    <s v="Poussins 2014 A"/>
    <x v="3"/>
    <n v="400"/>
    <m/>
    <n v="400"/>
    <n v="400"/>
    <n v="0"/>
    <n v="0"/>
    <m/>
    <m/>
    <m/>
    <m/>
  </r>
  <r>
    <n v="500"/>
    <s v="Chtioui"/>
    <s v="Youssef"/>
    <d v="2013-03-13T00:00:00"/>
    <s v="M"/>
    <n v="26497620"/>
    <n v="29686833"/>
    <s v="schtioui82@gmail.com"/>
    <x v="0"/>
    <x v="8"/>
    <s v="Benjamins 2012 N"/>
    <x v="7"/>
    <n v="500"/>
    <m/>
    <n v="500"/>
    <n v="165"/>
    <n v="335"/>
    <n v="0"/>
    <m/>
    <s v="ok"/>
    <s v="Avoir Abdelaal"/>
    <m/>
  </r>
  <r>
    <n v="245"/>
    <s v="Zorgati"/>
    <s v="Hedi"/>
    <d v="2015-08-12T00:00:00"/>
    <s v="M"/>
    <n v="55557575"/>
    <m/>
    <m/>
    <x v="2"/>
    <x v="0"/>
    <m/>
    <x v="5"/>
    <n v="450"/>
    <m/>
    <n v="450"/>
    <n v="450"/>
    <n v="0"/>
    <n v="0"/>
    <m/>
    <m/>
    <m/>
    <m/>
  </r>
  <r>
    <n v="246"/>
    <s v="Hassan"/>
    <s v="Yahya"/>
    <d v="2016-12-21T00:00:00"/>
    <s v="M"/>
    <n v="96762292"/>
    <m/>
    <m/>
    <x v="0"/>
    <x v="56"/>
    <s v="Lutin1"/>
    <x v="4"/>
    <n v="500"/>
    <m/>
    <n v="500"/>
    <n v="500"/>
    <n v="0"/>
    <n v="0"/>
    <m/>
    <m/>
    <m/>
    <m/>
  </r>
  <r>
    <n v="247"/>
    <s v="Belhadj Khalifa"/>
    <s v="Salim"/>
    <d v="2016-06-03T00:00:00"/>
    <s v="M"/>
    <n v="56697210"/>
    <m/>
    <m/>
    <x v="0"/>
    <x v="0"/>
    <s v="Lutins 2015-2016 N"/>
    <x v="4"/>
    <n v="450"/>
    <m/>
    <n v="450"/>
    <n v="450"/>
    <n v="0"/>
    <n v="0"/>
    <m/>
    <m/>
    <m/>
    <m/>
  </r>
  <r>
    <n v="248"/>
    <s v="Mani"/>
    <s v="Med Anas"/>
    <d v="2015-02-26T00:00:00"/>
    <s v="M"/>
    <n v="55767519"/>
    <m/>
    <m/>
    <x v="0"/>
    <x v="30"/>
    <s v="Poussins 2014"/>
    <x v="3"/>
    <n v="450"/>
    <m/>
    <n v="450"/>
    <n v="450"/>
    <n v="0"/>
    <n v="0"/>
    <m/>
    <m/>
    <m/>
    <m/>
  </r>
  <r>
    <n v="249"/>
    <s v="Boudabous"/>
    <s v="Iyed"/>
    <d v="2016-08-23T00:00:00"/>
    <s v="M"/>
    <n v="25826118"/>
    <m/>
    <m/>
    <x v="0"/>
    <x v="49"/>
    <s v="Lutins 2016-2017"/>
    <x v="4"/>
    <n v="500"/>
    <m/>
    <n v="500"/>
    <n v="500"/>
    <n v="0"/>
    <n v="0"/>
    <m/>
    <m/>
    <m/>
    <m/>
  </r>
  <r>
    <n v="250"/>
    <s v="Ben Ahmed"/>
    <s v="Karim"/>
    <d v="2016-10-01T00:00:00"/>
    <s v="M"/>
    <n v="24113619"/>
    <m/>
    <m/>
    <x v="2"/>
    <x v="0"/>
    <m/>
    <x v="5"/>
    <n v="0"/>
    <m/>
    <n v="0"/>
    <n v="0"/>
    <n v="0"/>
    <n v="0"/>
    <m/>
    <m/>
    <m/>
    <m/>
  </r>
  <r>
    <n v="251"/>
    <s v="Walha"/>
    <s v="Slim"/>
    <d v="2016-11-02T00:00:00"/>
    <s v="M"/>
    <n v="55858077"/>
    <m/>
    <m/>
    <x v="2"/>
    <x v="0"/>
    <m/>
    <x v="5"/>
    <n v="450"/>
    <m/>
    <n v="450"/>
    <n v="450"/>
    <n v="0"/>
    <s v="ok"/>
    <m/>
    <m/>
    <m/>
    <m/>
  </r>
  <r>
    <n v="252"/>
    <s v="Lili"/>
    <s v="Jinene"/>
    <d v="2015-06-29T00:00:00"/>
    <s v="F"/>
    <n v="56049599"/>
    <m/>
    <m/>
    <x v="0"/>
    <x v="0"/>
    <s v="Lutin 2015-2016N"/>
    <x v="5"/>
    <n v="500"/>
    <m/>
    <n v="500"/>
    <n v="500"/>
    <n v="0"/>
    <n v="0"/>
    <m/>
    <m/>
    <m/>
    <m/>
  </r>
  <r>
    <n v="253"/>
    <s v="Brahem"/>
    <s v="Ilene"/>
    <d v="2015-04-20T00:00:00"/>
    <s v="F"/>
    <n v="97496087"/>
    <m/>
    <m/>
    <x v="0"/>
    <x v="12"/>
    <s v="Benjamins "/>
    <x v="11"/>
    <n v="500"/>
    <m/>
    <n v="500"/>
    <n v="500"/>
    <n v="0"/>
    <n v="0"/>
    <m/>
    <m/>
    <m/>
    <m/>
  </r>
  <r>
    <n v="254"/>
    <s v="Aamri"/>
    <s v="Salima"/>
    <d v="2016-12-31T00:00:00"/>
    <s v="F"/>
    <n v="24492899"/>
    <m/>
    <m/>
    <x v="0"/>
    <x v="55"/>
    <s v="Lutins 2015-2016 N"/>
    <x v="6"/>
    <n v="500"/>
    <m/>
    <n v="500"/>
    <n v="500"/>
    <n v="0"/>
    <n v="0"/>
    <m/>
    <m/>
    <m/>
    <m/>
  </r>
  <r>
    <n v="255"/>
    <s v="Meddeb"/>
    <s v="Hedi"/>
    <d v="2016-06-03T00:00:00"/>
    <s v="M"/>
    <n v="56065059"/>
    <m/>
    <m/>
    <x v="0"/>
    <x v="56"/>
    <s v="Lutins 2015-2016 N"/>
    <x v="4"/>
    <n v="500"/>
    <m/>
    <n v="500"/>
    <n v="500"/>
    <n v="0"/>
    <n v="0"/>
    <m/>
    <m/>
    <m/>
    <m/>
  </r>
  <r>
    <n v="256"/>
    <s v="Talbi"/>
    <s v="Baya"/>
    <d v="2016-06-15T00:00:00"/>
    <s v="F"/>
    <n v="24549002"/>
    <m/>
    <m/>
    <x v="0"/>
    <x v="53"/>
    <s v="Prélutins "/>
    <x v="4"/>
    <n v="500"/>
    <m/>
    <n v="500"/>
    <n v="500"/>
    <n v="0"/>
    <n v="0"/>
    <m/>
    <m/>
    <m/>
    <m/>
  </r>
  <r>
    <n v="257"/>
    <s v="Boudabous"/>
    <s v="Chahine"/>
    <d v="2015-10-08T00:00:00"/>
    <s v="M"/>
    <n v="27447763"/>
    <m/>
    <m/>
    <x v="0"/>
    <x v="57"/>
    <s v="Lutins 2014-2015 A"/>
    <x v="6"/>
    <n v="450"/>
    <m/>
    <n v="450"/>
    <n v="450"/>
    <n v="0"/>
    <s v="ok"/>
    <m/>
    <m/>
    <m/>
    <m/>
  </r>
  <r>
    <n v="258"/>
    <s v="Omezzine"/>
    <s v="Youssef"/>
    <d v="2016-10-23T00:00:00"/>
    <s v="M"/>
    <n v="50591309"/>
    <m/>
    <m/>
    <x v="0"/>
    <x v="56"/>
    <s v="Lutins 2015-2016 N"/>
    <x v="4"/>
    <n v="500"/>
    <m/>
    <n v="500"/>
    <n v="500"/>
    <n v="0"/>
    <s v="ok"/>
    <m/>
    <m/>
    <m/>
    <m/>
  </r>
  <r>
    <n v="259"/>
    <s v="Zorgati"/>
    <s v="Sarra"/>
    <d v="2016-09-24T00:00:00"/>
    <s v="F"/>
    <n v="55557676"/>
    <m/>
    <m/>
    <x v="2"/>
    <x v="0"/>
    <m/>
    <x v="5"/>
    <n v="450"/>
    <m/>
    <n v="450"/>
    <n v="450"/>
    <n v="0"/>
    <n v="0"/>
    <m/>
    <m/>
    <m/>
    <m/>
  </r>
  <r>
    <n v="260"/>
    <s v="Ben Abdelaziz"/>
    <s v="Arij"/>
    <d v="2015-09-22T00:00:00"/>
    <s v="F"/>
    <n v="96940703"/>
    <m/>
    <m/>
    <x v="0"/>
    <x v="57"/>
    <s v="Lutins 2014-2015 A"/>
    <x v="6"/>
    <n v="500"/>
    <m/>
    <n v="500"/>
    <n v="500"/>
    <n v="0"/>
    <n v="0"/>
    <m/>
    <m/>
    <m/>
    <m/>
  </r>
  <r>
    <n v="261"/>
    <s v="Charef"/>
    <s v="Slim"/>
    <d v="2015-11-24T00:00:00"/>
    <s v="M"/>
    <n v="95610400"/>
    <m/>
    <m/>
    <x v="0"/>
    <x v="57"/>
    <s v="Lutins 2014-2015 A"/>
    <x v="6"/>
    <n v="450"/>
    <m/>
    <n v="450"/>
    <n v="450"/>
    <n v="0"/>
    <n v="0"/>
    <m/>
    <m/>
    <m/>
    <m/>
  </r>
  <r>
    <n v="41"/>
    <s v="Bouzidi"/>
    <s v="Mayar"/>
    <d v="2011-12-10T00:00:00"/>
    <s v="F"/>
    <n v="98665686"/>
    <m/>
    <m/>
    <x v="0"/>
    <x v="6"/>
    <s v="club Junior"/>
    <x v="7"/>
    <n v="500"/>
    <m/>
    <n v="500"/>
    <n v="400"/>
    <n v="100"/>
    <s v="ok"/>
    <m/>
    <s v="ok"/>
    <m/>
    <m/>
  </r>
  <r>
    <n v="95"/>
    <s v="Hichri"/>
    <s v="Ahmed"/>
    <d v="2008-01-09T00:00:00"/>
    <s v="M"/>
    <n v="92332050"/>
    <m/>
    <m/>
    <x v="0"/>
    <x v="0"/>
    <s v="Club Junior A"/>
    <x v="5"/>
    <n v="500"/>
    <m/>
    <n v="500"/>
    <n v="200"/>
    <n v="300"/>
    <s v="ok"/>
    <m/>
    <s v="Ne répond pas"/>
    <m/>
    <m/>
  </r>
  <r>
    <n v="264"/>
    <s v="Guedri"/>
    <s v="Mohamed"/>
    <d v="2016-03-14T00:00:00"/>
    <s v="M"/>
    <n v="56603799"/>
    <m/>
    <m/>
    <x v="0"/>
    <x v="55"/>
    <s v="Lutins 2015-2016 N"/>
    <x v="6"/>
    <n v="500"/>
    <m/>
    <n v="500"/>
    <n v="500"/>
    <n v="0"/>
    <n v="0"/>
    <m/>
    <m/>
    <m/>
    <m/>
  </r>
  <r>
    <n v="265"/>
    <s v="Dardour"/>
    <s v="Amine"/>
    <d v="2016-06-12T00:00:00"/>
    <s v="M"/>
    <n v="55199525"/>
    <m/>
    <m/>
    <x v="0"/>
    <x v="38"/>
    <s v="Lutins 2015-2016 A"/>
    <x v="3"/>
    <n v="450"/>
    <m/>
    <n v="450"/>
    <n v="450"/>
    <n v="0"/>
    <n v="0"/>
    <m/>
    <m/>
    <m/>
    <m/>
  </r>
  <r>
    <n v="266"/>
    <s v="Ben Ahmed"/>
    <s v="Emna"/>
    <d v="2015-04-12T00:00:00"/>
    <s v="F"/>
    <n v="21565245"/>
    <m/>
    <m/>
    <x v="0"/>
    <x v="12"/>
    <s v="Benjamins "/>
    <x v="11"/>
    <n v="450"/>
    <m/>
    <n v="450"/>
    <n v="450"/>
    <n v="0"/>
    <n v="0"/>
    <m/>
    <m/>
    <m/>
    <m/>
  </r>
  <r>
    <n v="267"/>
    <s v="Ben Youssef"/>
    <s v="Mehdi Adam"/>
    <d v="2016-10-31T00:00:00"/>
    <s v="M"/>
    <n v="94082343"/>
    <m/>
    <m/>
    <x v="0"/>
    <x v="38"/>
    <s v="Lutins 2015-2016 A"/>
    <x v="3"/>
    <n v="500"/>
    <m/>
    <n v="500"/>
    <n v="500"/>
    <n v="0"/>
    <n v="0"/>
    <m/>
    <m/>
    <m/>
    <m/>
  </r>
  <r>
    <n v="268"/>
    <s v="El Abed"/>
    <s v="Yassine"/>
    <d v="2016-03-05T00:00:00"/>
    <s v="M"/>
    <n v="50339246"/>
    <m/>
    <m/>
    <x v="0"/>
    <x v="38"/>
    <s v="Lutins 2015-2016 A"/>
    <x v="3"/>
    <n v="500"/>
    <m/>
    <n v="500"/>
    <n v="500"/>
    <n v="0"/>
    <n v="0"/>
    <m/>
    <m/>
    <m/>
    <m/>
  </r>
  <r>
    <n v="269"/>
    <s v="Fradi"/>
    <s v="Mohamed Yacine"/>
    <d v="2015-06-03T00:00:00"/>
    <s v="M"/>
    <n v="20226566"/>
    <m/>
    <m/>
    <x v="0"/>
    <x v="47"/>
    <s v="Poussins 2014-2015"/>
    <x v="3"/>
    <n v="450"/>
    <m/>
    <n v="450"/>
    <n v="450"/>
    <n v="0"/>
    <n v="0"/>
    <m/>
    <m/>
    <m/>
    <m/>
  </r>
  <r>
    <n v="270"/>
    <s v="Benzarti"/>
    <s v="Malek"/>
    <d v="2016-04-14T00:00:00"/>
    <s v="M"/>
    <n v="25903911"/>
    <m/>
    <m/>
    <x v="0"/>
    <x v="38"/>
    <m/>
    <x v="3"/>
    <n v="500"/>
    <m/>
    <n v="500"/>
    <n v="500"/>
    <n v="0"/>
    <n v="0"/>
    <m/>
    <m/>
    <m/>
    <m/>
  </r>
  <r>
    <n v="271"/>
    <s v="Zgolli"/>
    <s v="Adem"/>
    <d v="2015-06-15T00:00:00"/>
    <s v="M"/>
    <n v="98732549"/>
    <m/>
    <m/>
    <x v="0"/>
    <x v="3"/>
    <s v="Poussins 2014-2015"/>
    <x v="4"/>
    <n v="400"/>
    <m/>
    <n v="400"/>
    <n v="400"/>
    <n v="0"/>
    <n v="0"/>
    <m/>
    <m/>
    <m/>
    <m/>
  </r>
  <r>
    <n v="272"/>
    <s v="Golli"/>
    <s v="Mariem"/>
    <d v="2015-08-28T00:00:00"/>
    <s v="F"/>
    <n v="26677200"/>
    <m/>
    <m/>
    <x v="0"/>
    <x v="0"/>
    <s v="Lutins 2015 A"/>
    <x v="15"/>
    <n v="450"/>
    <m/>
    <n v="450"/>
    <n v="450"/>
    <n v="0"/>
    <n v="0"/>
    <m/>
    <m/>
    <m/>
    <m/>
  </r>
  <r>
    <n v="273"/>
    <s v="Souayah"/>
    <s v="Ayoub"/>
    <d v="2015-02-06T00:00:00"/>
    <s v="M"/>
    <n v="98925366"/>
    <m/>
    <m/>
    <x v="0"/>
    <x v="12"/>
    <m/>
    <x v="11"/>
    <n v="500"/>
    <m/>
    <n v="500"/>
    <n v="500"/>
    <n v="0"/>
    <s v="Ne répond pas"/>
    <m/>
    <m/>
    <m/>
    <m/>
  </r>
  <r>
    <n v="274"/>
    <s v="Akkari"/>
    <s v="Haroun"/>
    <d v="2015-01-18T00:00:00"/>
    <s v="M"/>
    <n v="95217900"/>
    <m/>
    <m/>
    <x v="0"/>
    <x v="47"/>
    <s v="Poussins 2014-2015"/>
    <x v="3"/>
    <n v="500"/>
    <m/>
    <n v="500"/>
    <n v="500"/>
    <n v="0"/>
    <n v="0"/>
    <m/>
    <m/>
    <m/>
    <m/>
  </r>
  <r>
    <n v="157"/>
    <s v="Zahmoul"/>
    <s v="Jed"/>
    <d v="2017-01-14T00:00:00"/>
    <s v="M"/>
    <n v="50532820"/>
    <n v="52354662"/>
    <m/>
    <x v="1"/>
    <x v="45"/>
    <s v="( P L 1 )"/>
    <x v="21"/>
    <n v="690"/>
    <m/>
    <n v="690"/>
    <n v="690"/>
    <n v="0"/>
    <n v="0"/>
    <m/>
    <s v="ok"/>
    <m/>
    <s v="A ver"/>
  </r>
  <r>
    <n v="276"/>
    <s v="Brini"/>
    <s v="Mirna"/>
    <d v="2016-05-29T00:00:00"/>
    <s v="F"/>
    <n v="50357916"/>
    <m/>
    <m/>
    <x v="0"/>
    <x v="0"/>
    <s v="Lutin 2015-2016N"/>
    <x v="5"/>
    <n v="500"/>
    <m/>
    <n v="500"/>
    <n v="500"/>
    <n v="0"/>
    <n v="0"/>
    <m/>
    <m/>
    <m/>
    <m/>
  </r>
  <r>
    <n v="277"/>
    <s v="Jaafar"/>
    <s v="Karam"/>
    <d v="2016-08-04T00:00:00"/>
    <s v="M"/>
    <n v="95029806"/>
    <m/>
    <m/>
    <x v="0"/>
    <x v="55"/>
    <s v="Lutins 2015-2016 N"/>
    <x v="6"/>
    <n v="500"/>
    <m/>
    <n v="500"/>
    <n v="500"/>
    <n v="0"/>
    <s v="ok"/>
    <m/>
    <m/>
    <m/>
    <m/>
  </r>
  <r>
    <n v="181"/>
    <s v="Ben Salem"/>
    <s v="Iyed"/>
    <d v="2017-04-19T00:00:00"/>
    <s v="M"/>
    <n v="25995767"/>
    <m/>
    <m/>
    <x v="1"/>
    <x v="45"/>
    <s v="( P L 1 )"/>
    <x v="21"/>
    <n v="800"/>
    <n v="0.1"/>
    <n v="720"/>
    <n v="700"/>
    <n v="20"/>
    <n v="0"/>
    <m/>
    <s v="ok"/>
    <m/>
    <m/>
  </r>
  <r>
    <n v="279"/>
    <s v="Harzallah"/>
    <s v="Zaineb"/>
    <d v="2016-06-27T00:00:00"/>
    <s v="F"/>
    <n v="98335701"/>
    <m/>
    <m/>
    <x v="0"/>
    <x v="49"/>
    <s v="Lutin2"/>
    <x v="4"/>
    <n v="250"/>
    <m/>
    <n v="250"/>
    <n v="250"/>
    <n v="0"/>
    <n v="0"/>
    <m/>
    <m/>
    <m/>
    <m/>
  </r>
  <r>
    <n v="280"/>
    <s v="Hadj Ayed"/>
    <s v="Fares"/>
    <d v="2016-12-07T00:00:00"/>
    <s v="M"/>
    <n v="21138860"/>
    <m/>
    <m/>
    <x v="0"/>
    <x v="56"/>
    <s v="Lutins 2015-2016 N"/>
    <x v="4"/>
    <n v="500"/>
    <m/>
    <n v="500"/>
    <n v="500"/>
    <n v="0"/>
    <n v="0"/>
    <m/>
    <m/>
    <m/>
    <m/>
  </r>
  <r>
    <n v="281"/>
    <s v="Frigui"/>
    <s v="Lilia Julia"/>
    <d v="2015-03-30T00:00:00"/>
    <s v="F"/>
    <n v="93410518"/>
    <m/>
    <m/>
    <x v="0"/>
    <x v="0"/>
    <s v="Lutin 2015-2016N"/>
    <x v="5"/>
    <n v="500"/>
    <m/>
    <n v="500"/>
    <n v="500"/>
    <n v="0"/>
    <n v="0"/>
    <m/>
    <m/>
    <m/>
    <m/>
  </r>
  <r>
    <n v="191"/>
    <s v="Gahbiche"/>
    <s v="Iyed"/>
    <d v="2017-03-14T00:00:00"/>
    <s v="M"/>
    <n v="99099199"/>
    <n v="50873493"/>
    <m/>
    <x v="1"/>
    <x v="44"/>
    <s v="( P L 2 )"/>
    <x v="21"/>
    <n v="800"/>
    <m/>
    <n v="800"/>
    <n v="800"/>
    <n v="0"/>
    <n v="0"/>
    <m/>
    <s v="ok"/>
    <m/>
    <m/>
  </r>
  <r>
    <n v="283"/>
    <s v="Mhiri"/>
    <s v="Rayan"/>
    <d v="2016-09-24T00:00:00"/>
    <s v="M"/>
    <n v="98292145"/>
    <m/>
    <m/>
    <x v="0"/>
    <x v="38"/>
    <s v="Lutins 2015-2016 A"/>
    <x v="3"/>
    <n v="450"/>
    <m/>
    <n v="450"/>
    <n v="450"/>
    <n v="0"/>
    <n v="0"/>
    <m/>
    <m/>
    <m/>
    <m/>
  </r>
  <r>
    <n v="284"/>
    <s v="Achour"/>
    <s v="Zaineb"/>
    <d v="2016-06-21T00:00:00"/>
    <s v="F"/>
    <n v="99717735"/>
    <m/>
    <m/>
    <x v="0"/>
    <x v="55"/>
    <s v="Lutins 2015-2016 N"/>
    <x v="6"/>
    <n v="500"/>
    <m/>
    <n v="500"/>
    <n v="500"/>
    <n v="0"/>
    <n v="0"/>
    <m/>
    <m/>
    <m/>
    <m/>
  </r>
  <r>
    <n v="204"/>
    <s v="Ben Rhouma"/>
    <s v="Fatma Zahra"/>
    <d v="2017-07-22T00:00:00"/>
    <s v="F"/>
    <n v="99700833"/>
    <m/>
    <m/>
    <x v="0"/>
    <x v="42"/>
    <s v="Pré-Lutins 2017 A1"/>
    <x v="19"/>
    <n v="500"/>
    <m/>
    <n v="500"/>
    <n v="200"/>
    <n v="300"/>
    <n v="0"/>
    <m/>
    <s v="Ne répond pas"/>
    <m/>
    <m/>
  </r>
  <r>
    <n v="286"/>
    <s v="Turki"/>
    <s v="Zeineb"/>
    <d v="2015-04-07T00:00:00"/>
    <s v="F"/>
    <n v="22909920"/>
    <m/>
    <m/>
    <x v="0"/>
    <x v="0"/>
    <s v="Lutin 2015-2016N"/>
    <x v="5"/>
    <n v="500"/>
    <m/>
    <n v="500"/>
    <n v="500"/>
    <n v="0"/>
    <n v="0"/>
    <m/>
    <m/>
    <m/>
    <m/>
  </r>
  <r>
    <n v="287"/>
    <s v="Mghaith"/>
    <s v="Youssef"/>
    <d v="2016-11-17T00:00:00"/>
    <s v="M"/>
    <n v="93210554"/>
    <m/>
    <m/>
    <x v="2"/>
    <x v="0"/>
    <m/>
    <x v="5"/>
    <n v="0"/>
    <m/>
    <n v="0"/>
    <n v="0"/>
    <n v="0"/>
    <n v="0"/>
    <m/>
    <m/>
    <m/>
    <m/>
  </r>
  <r>
    <n v="288"/>
    <s v="Ktita"/>
    <s v="Nourane"/>
    <d v="2016-11-30T00:00:00"/>
    <s v="F"/>
    <n v="97597424"/>
    <m/>
    <m/>
    <x v="0"/>
    <x v="0"/>
    <s v="Lutins 2015-2016 A"/>
    <x v="23"/>
    <n v="500"/>
    <m/>
    <n v="500"/>
    <n v="500"/>
    <n v="0"/>
    <n v="0"/>
    <m/>
    <m/>
    <m/>
    <m/>
  </r>
  <r>
    <n v="316"/>
    <s v="Hassan"/>
    <s v="Ferdaous"/>
    <d v="2016-10-20T00:00:00"/>
    <s v="F"/>
    <n v="23928575"/>
    <m/>
    <m/>
    <x v="0"/>
    <x v="55"/>
    <s v="Lutins 2015-2016 N"/>
    <x v="6"/>
    <n v="500"/>
    <m/>
    <n v="500"/>
    <n v="200"/>
    <n v="300"/>
    <n v="0"/>
    <m/>
    <s v="A quité"/>
    <m/>
    <m/>
  </r>
  <r>
    <n v="290"/>
    <s v="Rouini"/>
    <s v="Med Youssef"/>
    <d v="2015-01-27T00:00:00"/>
    <s v="M"/>
    <n v="52625259"/>
    <m/>
    <m/>
    <x v="0"/>
    <x v="0"/>
    <s v="Lutin 2015-2016N"/>
    <x v="5"/>
    <n v="450"/>
    <m/>
    <n v="450"/>
    <n v="450"/>
    <n v="0"/>
    <n v="0"/>
    <m/>
    <m/>
    <m/>
    <m/>
  </r>
  <r>
    <n v="291"/>
    <s v="Hassine"/>
    <s v="Camilia"/>
    <d v="2016-01-02T00:00:00"/>
    <s v="F"/>
    <n v="56129000"/>
    <m/>
    <m/>
    <x v="2"/>
    <x v="0"/>
    <m/>
    <x v="5"/>
    <n v="500"/>
    <m/>
    <n v="500"/>
    <n v="500"/>
    <n v="0"/>
    <n v="0"/>
    <m/>
    <m/>
    <m/>
    <m/>
  </r>
  <r>
    <n v="292"/>
    <s v="Bagane"/>
    <s v="Ranim"/>
    <d v="2015-01-06T00:00:00"/>
    <s v="F"/>
    <n v="98643775"/>
    <m/>
    <m/>
    <x v="0"/>
    <x v="47"/>
    <m/>
    <x v="3"/>
    <n v="500"/>
    <m/>
    <n v="500"/>
    <n v="500"/>
    <n v="0"/>
    <n v="0"/>
    <m/>
    <m/>
    <m/>
    <m/>
  </r>
  <r>
    <n v="293"/>
    <s v="Souayah"/>
    <s v="Bayrem"/>
    <d v="2015-02-07T00:00:00"/>
    <s v="M"/>
    <n v="20220909"/>
    <m/>
    <m/>
    <x v="0"/>
    <x v="47"/>
    <s v="Poussins 2014-2015"/>
    <x v="3"/>
    <n v="400"/>
    <m/>
    <n v="400"/>
    <n v="400"/>
    <n v="0"/>
    <n v="0"/>
    <m/>
    <m/>
    <m/>
    <m/>
  </r>
  <r>
    <n v="294"/>
    <s v="Abid"/>
    <s v="Anas"/>
    <d v="2015-10-07T00:00:00"/>
    <s v="M"/>
    <n v="55557045"/>
    <m/>
    <m/>
    <x v="0"/>
    <x v="55"/>
    <s v="Lutins 2015-2016 N"/>
    <x v="6"/>
    <n v="400"/>
    <m/>
    <n v="400"/>
    <n v="400"/>
    <n v="0"/>
    <n v="0"/>
    <m/>
    <m/>
    <m/>
    <m/>
  </r>
  <r>
    <n v="295"/>
    <s v="Kharroubi"/>
    <s v="Youssef"/>
    <d v="2016-04-14T00:00:00"/>
    <s v="M"/>
    <n v="24959012"/>
    <m/>
    <m/>
    <x v="2"/>
    <x v="0"/>
    <m/>
    <x v="5"/>
    <n v="250"/>
    <m/>
    <n v="250"/>
    <n v="250"/>
    <n v="0"/>
    <s v="ok"/>
    <m/>
    <m/>
    <m/>
    <m/>
  </r>
  <r>
    <n v="340"/>
    <s v="Cherif"/>
    <s v="Houcine"/>
    <d v="1969-10-27T00:00:00"/>
    <s v="M"/>
    <n v="58578747"/>
    <m/>
    <m/>
    <x v="4"/>
    <x v="54"/>
    <m/>
    <x v="6"/>
    <n v="600"/>
    <m/>
    <n v="600"/>
    <n v="600"/>
    <n v="0"/>
    <n v="0"/>
    <m/>
    <s v="ok"/>
    <m/>
    <m/>
  </r>
  <r>
    <n v="297"/>
    <s v="Mokni"/>
    <s v="Yassmine"/>
    <d v="2015-08-09T00:00:00"/>
    <s v="F"/>
    <n v="97079994"/>
    <m/>
    <m/>
    <x v="0"/>
    <x v="0"/>
    <s v="Lutin 2015-2016N"/>
    <x v="5"/>
    <n v="500"/>
    <m/>
    <n v="500"/>
    <n v="500"/>
    <n v="0"/>
    <s v="ok"/>
    <m/>
    <m/>
    <m/>
    <m/>
  </r>
  <r>
    <n v="298"/>
    <s v="Ben Abdallah"/>
    <s v="Amer"/>
    <d v="2016-11-14T00:00:00"/>
    <s v="M"/>
    <n v="55312657"/>
    <m/>
    <m/>
    <x v="0"/>
    <x v="55"/>
    <s v="Lutins 2015-2016 N"/>
    <x v="6"/>
    <n v="450"/>
    <m/>
    <n v="450"/>
    <n v="450"/>
    <n v="0"/>
    <n v="0"/>
    <m/>
    <m/>
    <m/>
    <m/>
  </r>
  <r>
    <n v="299"/>
    <s v="Ben Alaya"/>
    <s v="Slim"/>
    <d v="2016-09-12T00:00:00"/>
    <s v="M"/>
    <n v="97118375"/>
    <n v="58533409"/>
    <m/>
    <x v="0"/>
    <x v="57"/>
    <s v="Lutins 2014-2015 A"/>
    <x v="6"/>
    <n v="500"/>
    <m/>
    <n v="500"/>
    <n v="500"/>
    <n v="0"/>
    <n v="0"/>
    <m/>
    <m/>
    <m/>
    <m/>
  </r>
  <r>
    <n v="378"/>
    <s v="Zardi"/>
    <s v="Yakine"/>
    <d v="1998-10-27T00:00:00"/>
    <s v="M"/>
    <n v="98409134"/>
    <m/>
    <m/>
    <x v="4"/>
    <x v="0"/>
    <m/>
    <x v="5"/>
    <n v="500"/>
    <m/>
    <n v="500"/>
    <n v="200"/>
    <n v="300"/>
    <n v="0"/>
    <m/>
    <s v="Kamel Zardi"/>
    <m/>
    <m/>
  </r>
  <r>
    <n v="301"/>
    <s v="Mdimegh"/>
    <s v="Aline"/>
    <d v="2016-06-05T00:00:00"/>
    <s v="F"/>
    <n v="99205958"/>
    <m/>
    <m/>
    <x v="0"/>
    <x v="53"/>
    <s v="Pré-lutins 2016 N"/>
    <x v="4"/>
    <n v="450"/>
    <m/>
    <n v="450"/>
    <n v="450"/>
    <n v="0"/>
    <s v="ok"/>
    <m/>
    <m/>
    <m/>
    <m/>
  </r>
  <r>
    <n v="388"/>
    <s v="Boudaga"/>
    <s v="Med Zaher"/>
    <d v="1980-12-21T00:00:00"/>
    <s v="M"/>
    <n v="98683334"/>
    <m/>
    <m/>
    <x v="4"/>
    <x v="54"/>
    <m/>
    <x v="6"/>
    <n v="600"/>
    <m/>
    <n v="600"/>
    <n v="300"/>
    <n v="300"/>
    <n v="0"/>
    <m/>
    <s v="A quité"/>
    <m/>
    <m/>
  </r>
  <r>
    <n v="303"/>
    <s v="Maatallah"/>
    <s v="Ahlem"/>
    <d v="2016-03-15T00:00:00"/>
    <s v="F"/>
    <n v="28766687"/>
    <m/>
    <m/>
    <x v="2"/>
    <x v="0"/>
    <m/>
    <x v="5"/>
    <n v="0"/>
    <m/>
    <n v="0"/>
    <n v="0"/>
    <n v="0"/>
    <n v="0"/>
    <m/>
    <m/>
    <m/>
    <m/>
  </r>
  <r>
    <n v="304"/>
    <s v="Aata"/>
    <s v="Amen Allah"/>
    <d v="2016-03-06T00:00:00"/>
    <s v="M"/>
    <n v="55535009"/>
    <m/>
    <m/>
    <x v="0"/>
    <x v="56"/>
    <s v="Lutins 2015-2016 N"/>
    <x v="4"/>
    <n v="500"/>
    <m/>
    <n v="500"/>
    <n v="500"/>
    <n v="0"/>
    <n v="0"/>
    <m/>
    <m/>
    <m/>
    <m/>
  </r>
  <r>
    <n v="305"/>
    <s v="Khlifi"/>
    <s v="Fatma Zahra"/>
    <d v="2015-10-29T00:00:00"/>
    <s v="F"/>
    <n v="20544839"/>
    <m/>
    <m/>
    <x v="0"/>
    <x v="56"/>
    <s v="Lutins 2015-2016 N"/>
    <x v="4"/>
    <n v="500"/>
    <m/>
    <n v="500"/>
    <n v="500"/>
    <n v="0"/>
    <n v="0"/>
    <m/>
    <m/>
    <m/>
    <m/>
  </r>
  <r>
    <n v="306"/>
    <s v="Ghannouchi"/>
    <s v="Molka"/>
    <d v="2012-10-16T00:00:00"/>
    <s v="F"/>
    <n v="52880089"/>
    <m/>
    <m/>
    <x v="0"/>
    <x v="3"/>
    <s v="Poussins 2014-2015"/>
    <x v="4"/>
    <n v="500"/>
    <m/>
    <n v="500"/>
    <n v="500"/>
    <n v="0"/>
    <n v="0"/>
    <m/>
    <m/>
    <m/>
    <m/>
  </r>
  <r>
    <n v="307"/>
    <s v="Khlij"/>
    <s v="Anas"/>
    <d v="2016-03-30T00:00:00"/>
    <s v="M"/>
    <n v="53448272"/>
    <m/>
    <m/>
    <x v="0"/>
    <x v="0"/>
    <s v="Lutins 2015-2016 N"/>
    <x v="4"/>
    <n v="500"/>
    <m/>
    <n v="500"/>
    <n v="500"/>
    <n v="0"/>
    <n v="0"/>
    <m/>
    <m/>
    <m/>
    <m/>
  </r>
  <r>
    <n v="394"/>
    <s v="Slimane"/>
    <s v="Touka"/>
    <d v="2009-05-27T00:00:00"/>
    <s v="F"/>
    <n v="29174377"/>
    <m/>
    <m/>
    <x v="0"/>
    <x v="0"/>
    <s v="Club Junior DD"/>
    <x v="3"/>
    <n v="500"/>
    <m/>
    <n v="500"/>
    <n v="200"/>
    <n v="300"/>
    <s v="Ne répond pas"/>
    <m/>
    <s v="Ne répond pas"/>
    <m/>
    <m/>
  </r>
  <r>
    <n v="309"/>
    <s v="Chemak"/>
    <s v="Haroun"/>
    <d v="2016-03-21T00:00:00"/>
    <s v="M"/>
    <n v="24323111"/>
    <m/>
    <m/>
    <x v="0"/>
    <x v="0"/>
    <s v="Lutin 2015-2016N"/>
    <x v="5"/>
    <n v="500"/>
    <m/>
    <n v="500"/>
    <n v="500"/>
    <n v="0"/>
    <n v="0"/>
    <m/>
    <m/>
    <m/>
    <m/>
  </r>
  <r>
    <n v="310"/>
    <s v="Ben Romdhane"/>
    <s v="Celine"/>
    <d v="2015-06-02T00:00:00"/>
    <s v="F"/>
    <n v="98528345"/>
    <m/>
    <m/>
    <x v="0"/>
    <x v="53"/>
    <s v="Pré-lutins 2016 N"/>
    <x v="4"/>
    <n v="450"/>
    <m/>
    <n v="450"/>
    <n v="450"/>
    <n v="0"/>
    <s v="Ne répond pas"/>
    <m/>
    <m/>
    <m/>
    <m/>
  </r>
  <r>
    <n v="398"/>
    <s v="Mahjoub"/>
    <s v="Youssef"/>
    <d v="2009-01-14T00:00:00"/>
    <s v="M"/>
    <n v="98303509"/>
    <m/>
    <m/>
    <x v="0"/>
    <x v="19"/>
    <m/>
    <x v="3"/>
    <n v="500"/>
    <n v="0.1"/>
    <n v="450"/>
    <n v="300"/>
    <n v="150"/>
    <n v="0"/>
    <m/>
    <s v="Ne répond pas"/>
    <m/>
    <m/>
  </r>
  <r>
    <n v="312"/>
    <s v="Lahmar"/>
    <s v="Kenza"/>
    <d v="2016-01-02T00:00:00"/>
    <s v="F"/>
    <n v="98308891"/>
    <m/>
    <m/>
    <x v="0"/>
    <x v="0"/>
    <s v="Lutin 2015-2016N"/>
    <x v="5"/>
    <n v="500"/>
    <m/>
    <n v="500"/>
    <n v="500"/>
    <n v="0"/>
    <n v="0"/>
    <m/>
    <m/>
    <m/>
    <m/>
  </r>
  <r>
    <n v="417"/>
    <s v="Nawali"/>
    <s v="Skander"/>
    <d v="2009-02-18T00:00:00"/>
    <s v="M"/>
    <n v="98263407"/>
    <n v="27665849"/>
    <m/>
    <x v="0"/>
    <x v="25"/>
    <s v="Club Junior N"/>
    <x v="7"/>
    <n v="500"/>
    <m/>
    <n v="500"/>
    <n v="200"/>
    <n v="300"/>
    <n v="0"/>
    <m/>
    <s v="ok"/>
    <m/>
    <m/>
  </r>
  <r>
    <n v="314"/>
    <s v="Chafra"/>
    <s v="Ahmed"/>
    <d v="2016-12-18T00:00:00"/>
    <s v="M"/>
    <m/>
    <m/>
    <m/>
    <x v="0"/>
    <x v="38"/>
    <s v="Lutins 2015-2016 A"/>
    <x v="3"/>
    <n v="500"/>
    <m/>
    <n v="500"/>
    <n v="500"/>
    <n v="0"/>
    <n v="0"/>
    <m/>
    <m/>
    <m/>
    <m/>
  </r>
  <r>
    <n v="315"/>
    <s v="Zorgati"/>
    <s v="Adem"/>
    <d v="2016-07-04T00:00:00"/>
    <s v="M"/>
    <n v="54793719"/>
    <m/>
    <m/>
    <x v="0"/>
    <x v="38"/>
    <s v="Lutins 2015-2016 A"/>
    <x v="3"/>
    <n v="500"/>
    <m/>
    <n v="500"/>
    <n v="500"/>
    <n v="0"/>
    <n v="0"/>
    <m/>
    <m/>
    <m/>
    <m/>
  </r>
  <r>
    <n v="447"/>
    <s v="Hachem"/>
    <s v="Yacine"/>
    <d v="2013-11-18T00:00:00"/>
    <s v="M"/>
    <n v="22953077"/>
    <n v="50953077"/>
    <s v="hachem_samia@yahoo.fr"/>
    <x v="1"/>
    <x v="22"/>
    <s v="(P2 B2)"/>
    <x v="14"/>
    <n v="800"/>
    <m/>
    <n v="800"/>
    <n v="800"/>
    <n v="0"/>
    <n v="0"/>
    <m/>
    <m/>
    <m/>
    <m/>
  </r>
  <r>
    <n v="317"/>
    <s v="Ben Hammouda"/>
    <s v="Ahmed"/>
    <d v="2015-05-05T00:00:00"/>
    <s v="M"/>
    <n v="99500336"/>
    <m/>
    <m/>
    <x v="0"/>
    <x v="57"/>
    <s v="Lutins 2014-2015 A"/>
    <x v="6"/>
    <n v="450"/>
    <m/>
    <n v="450"/>
    <n v="450"/>
    <n v="0"/>
    <n v="0"/>
    <m/>
    <m/>
    <m/>
    <m/>
  </r>
  <r>
    <n v="318"/>
    <s v="Hachem"/>
    <s v="Adem"/>
    <m/>
    <s v="M"/>
    <n v="22953077"/>
    <n v="50953077"/>
    <m/>
    <x v="1"/>
    <x v="58"/>
    <s v="( L2 C1 )"/>
    <x v="21"/>
    <n v="800"/>
    <m/>
    <n v="800"/>
    <n v="1200"/>
    <n v="-400"/>
    <n v="0"/>
    <m/>
    <s v="ok"/>
    <m/>
    <m/>
  </r>
  <r>
    <n v="319"/>
    <s v="Ayachi"/>
    <s v="Meriem"/>
    <d v="2015-11-24T00:00:00"/>
    <s v="F"/>
    <n v="58362054"/>
    <m/>
    <m/>
    <x v="0"/>
    <x v="53"/>
    <s v="Ramzi"/>
    <x v="4"/>
    <n v="500"/>
    <m/>
    <n v="500"/>
    <n v="500"/>
    <n v="0"/>
    <n v="0"/>
    <m/>
    <m/>
    <m/>
    <m/>
  </r>
  <r>
    <n v="320"/>
    <s v="Chtioui"/>
    <s v="Afifa"/>
    <d v="2016-11-16T00:00:00"/>
    <s v="F"/>
    <n v="26497620"/>
    <m/>
    <m/>
    <x v="0"/>
    <x v="57"/>
    <s v="Lutins 2014-2015 A"/>
    <x v="6"/>
    <n v="500"/>
    <m/>
    <n v="500"/>
    <n v="500"/>
    <n v="0"/>
    <n v="0"/>
    <m/>
    <m/>
    <s v="Avoir Abdelaal"/>
    <m/>
  </r>
  <r>
    <n v="321"/>
    <s v="Mestiri"/>
    <s v="Youssef"/>
    <d v="2015-12-31T00:00:00"/>
    <s v="M"/>
    <n v="96338738"/>
    <m/>
    <m/>
    <x v="0"/>
    <x v="57"/>
    <s v="Lutins 2014-2015 A"/>
    <x v="6"/>
    <n v="500"/>
    <m/>
    <n v="500"/>
    <n v="500"/>
    <n v="0"/>
    <n v="0"/>
    <m/>
    <m/>
    <m/>
    <m/>
  </r>
  <r>
    <n v="322"/>
    <s v="Faydi"/>
    <s v="Line"/>
    <d v="2015-04-26T00:00:00"/>
    <s v="F"/>
    <n v="98591975"/>
    <m/>
    <m/>
    <x v="0"/>
    <x v="18"/>
    <s v="lutins 2015 A"/>
    <x v="7"/>
    <n v="500"/>
    <m/>
    <n v="500"/>
    <n v="500"/>
    <n v="0"/>
    <n v="0"/>
    <m/>
    <m/>
    <m/>
    <m/>
  </r>
  <r>
    <n v="323"/>
    <s v="Belhadj Bechir"/>
    <s v="Omar"/>
    <d v="2015-03-12T00:00:00"/>
    <s v="M"/>
    <n v="53173454"/>
    <m/>
    <m/>
    <x v="0"/>
    <x v="56"/>
    <s v="Lutins 2015-2016 N"/>
    <x v="4"/>
    <n v="500"/>
    <m/>
    <n v="500"/>
    <n v="500"/>
    <n v="0"/>
    <n v="0"/>
    <m/>
    <m/>
    <m/>
    <m/>
  </r>
  <r>
    <n v="448"/>
    <s v="Chiba"/>
    <s v="Israa"/>
    <d v="2014-07-24T00:00:00"/>
    <s v="F"/>
    <n v="53404776"/>
    <n v="53604775"/>
    <s v="wissal.miladi@gmail.com"/>
    <x v="2"/>
    <x v="0"/>
    <m/>
    <x v="5"/>
    <n v="500"/>
    <m/>
    <n v="500"/>
    <n v="200"/>
    <n v="300"/>
    <n v="0"/>
    <m/>
    <s v="A quité"/>
    <m/>
    <m/>
  </r>
  <r>
    <n v="325"/>
    <s v="Slama"/>
    <s v="Yomn"/>
    <d v="2015-06-25T00:00:00"/>
    <s v="F"/>
    <n v="98775521"/>
    <m/>
    <m/>
    <x v="0"/>
    <x v="57"/>
    <s v="Lutins 2015 A"/>
    <x v="6"/>
    <n v="450"/>
    <m/>
    <n v="450"/>
    <n v="450"/>
    <n v="0"/>
    <s v="Ne répond pas"/>
    <m/>
    <m/>
    <m/>
    <m/>
  </r>
  <r>
    <n v="326"/>
    <s v="Bouzidi"/>
    <s v="Miral"/>
    <d v="2016-11-05T00:00:00"/>
    <s v="F"/>
    <n v="98607242"/>
    <m/>
    <m/>
    <x v="2"/>
    <x v="0"/>
    <m/>
    <x v="5"/>
    <n v="200"/>
    <m/>
    <n v="200"/>
    <n v="200"/>
    <n v="0"/>
    <n v="0"/>
    <m/>
    <m/>
    <m/>
    <m/>
  </r>
  <r>
    <n v="327"/>
    <s v="Ben Kahla"/>
    <s v="Meriem"/>
    <d v="2015-07-12T00:00:00"/>
    <s v="F"/>
    <n v="99964138"/>
    <m/>
    <m/>
    <x v="0"/>
    <x v="59"/>
    <m/>
    <x v="3"/>
    <n v="450"/>
    <m/>
    <n v="450"/>
    <n v="450"/>
    <n v="0"/>
    <n v="0"/>
    <m/>
    <m/>
    <m/>
    <m/>
  </r>
  <r>
    <n v="328"/>
    <s v="Ben Kahla"/>
    <s v="Malek"/>
    <d v="2016-09-19T00:00:00"/>
    <s v="F"/>
    <n v="99964538"/>
    <m/>
    <m/>
    <x v="0"/>
    <x v="53"/>
    <s v="Pré-lutins 2016 N"/>
    <x v="4"/>
    <n v="450"/>
    <m/>
    <n v="450"/>
    <n v="450"/>
    <n v="0"/>
    <n v="0"/>
    <m/>
    <m/>
    <m/>
    <m/>
  </r>
  <r>
    <n v="485"/>
    <s v="Bouzidi"/>
    <s v="Layen"/>
    <d v="2013-03-20T00:00:00"/>
    <s v="F"/>
    <n v="98665686"/>
    <n v="54239200"/>
    <m/>
    <x v="0"/>
    <x v="59"/>
    <m/>
    <x v="3"/>
    <n v="500"/>
    <m/>
    <n v="500"/>
    <n v="400"/>
    <n v="100"/>
    <n v="0"/>
    <m/>
    <s v="ok"/>
    <m/>
    <m/>
  </r>
  <r>
    <n v="491"/>
    <s v="Nawali"/>
    <s v="Ilyes"/>
    <d v="2014-11-28T00:00:00"/>
    <s v="M"/>
    <n v="98263407"/>
    <n v="27665849"/>
    <s v="walidnaouali@yahoo.fr"/>
    <x v="0"/>
    <x v="3"/>
    <s v="Poussins 2014-2015"/>
    <x v="4"/>
    <n v="500"/>
    <m/>
    <n v="500"/>
    <n v="200"/>
    <n v="300"/>
    <n v="0"/>
    <m/>
    <s v="A quité"/>
    <m/>
    <m/>
  </r>
  <r>
    <n v="331"/>
    <s v="Attia"/>
    <s v="Mohamed Sadok"/>
    <d v="1981-11-02T00:00:00"/>
    <s v="M"/>
    <n v="97259696"/>
    <m/>
    <m/>
    <x v="4"/>
    <x v="0"/>
    <m/>
    <x v="5"/>
    <n v="200"/>
    <m/>
    <n v="200"/>
    <n v="200"/>
    <n v="0"/>
    <n v="0"/>
    <m/>
    <m/>
    <m/>
    <m/>
  </r>
  <r>
    <n v="332"/>
    <s v="Khbour"/>
    <s v="Lamis"/>
    <d v="2000-02-25T00:00:00"/>
    <s v="F"/>
    <n v="98475747"/>
    <m/>
    <m/>
    <x v="4"/>
    <x v="0"/>
    <m/>
    <x v="5"/>
    <n v="450"/>
    <m/>
    <n v="450"/>
    <n v="450"/>
    <n v="0"/>
    <n v="0"/>
    <m/>
    <m/>
    <m/>
    <m/>
  </r>
  <r>
    <n v="333"/>
    <s v="Khbour"/>
    <s v="Imen"/>
    <d v="1972-11-18T00:00:00"/>
    <s v="F"/>
    <n v="98475747"/>
    <m/>
    <m/>
    <x v="4"/>
    <x v="0"/>
    <m/>
    <x v="5"/>
    <n v="450"/>
    <m/>
    <n v="450"/>
    <n v="450"/>
    <n v="0"/>
    <n v="0"/>
    <m/>
    <m/>
    <m/>
    <m/>
  </r>
  <r>
    <n v="334"/>
    <s v="Arous"/>
    <s v="Wissem"/>
    <d v="1984-03-03T00:00:00"/>
    <s v="M"/>
    <n v="55835172"/>
    <m/>
    <m/>
    <x v="4"/>
    <x v="54"/>
    <m/>
    <x v="24"/>
    <n v="600"/>
    <m/>
    <n v="600"/>
    <n v="600"/>
    <n v="0"/>
    <n v="0"/>
    <m/>
    <m/>
    <m/>
    <m/>
  </r>
  <r>
    <n v="335"/>
    <s v="Ben Salem"/>
    <s v="Maher"/>
    <d v="1990-12-19T00:00:00"/>
    <s v="M"/>
    <n v="25995767"/>
    <m/>
    <m/>
    <x v="4"/>
    <x v="51"/>
    <m/>
    <x v="15"/>
    <n v="500"/>
    <m/>
    <n v="500"/>
    <n v="500"/>
    <n v="0"/>
    <n v="0"/>
    <m/>
    <m/>
    <m/>
    <m/>
  </r>
  <r>
    <n v="336"/>
    <s v="Lazreg"/>
    <s v="Nouha"/>
    <d v="1998-11-20T00:00:00"/>
    <s v="F"/>
    <n v="51704000"/>
    <m/>
    <m/>
    <x v="4"/>
    <x v="0"/>
    <m/>
    <x v="5"/>
    <n v="250"/>
    <m/>
    <n v="250"/>
    <n v="250"/>
    <n v="0"/>
    <n v="0"/>
    <m/>
    <m/>
    <m/>
    <m/>
  </r>
  <r>
    <n v="337"/>
    <s v="Ben Youssef"/>
    <s v="Yosr"/>
    <d v="1997-05-23T00:00:00"/>
    <s v="F"/>
    <n v="96652221"/>
    <m/>
    <m/>
    <x v="4"/>
    <x v="0"/>
    <m/>
    <x v="5"/>
    <n v="250"/>
    <m/>
    <n v="250"/>
    <n v="250"/>
    <n v="0"/>
    <n v="0"/>
    <m/>
    <m/>
    <m/>
    <m/>
  </r>
  <r>
    <n v="338"/>
    <s v="Khlifi"/>
    <s v="Heni"/>
    <d v="2000-08-08T00:00:00"/>
    <s v="M"/>
    <n v="28705470"/>
    <m/>
    <m/>
    <x v="4"/>
    <x v="29"/>
    <m/>
    <x v="7"/>
    <n v="500"/>
    <m/>
    <n v="500"/>
    <n v="500"/>
    <n v="0"/>
    <n v="0"/>
    <m/>
    <m/>
    <m/>
    <m/>
  </r>
  <r>
    <n v="339"/>
    <s v="Ben Ahmed"/>
    <s v="Khaled"/>
    <d v="1986-12-30T00:00:00"/>
    <s v="M"/>
    <n v="20147513"/>
    <m/>
    <m/>
    <x v="4"/>
    <x v="0"/>
    <m/>
    <x v="5"/>
    <n v="500"/>
    <m/>
    <n v="500"/>
    <n v="500"/>
    <n v="0"/>
    <n v="0"/>
    <m/>
    <m/>
    <m/>
    <m/>
  </r>
  <r>
    <n v="517"/>
    <s v="Houimel"/>
    <s v="Khaled"/>
    <d v="2016-10-27T00:00:00"/>
    <s v="M"/>
    <n v="29125125"/>
    <n v="20259259"/>
    <m/>
    <x v="1"/>
    <x v="60"/>
    <s v="( L1 C2 )"/>
    <x v="17"/>
    <n v="1000"/>
    <m/>
    <n v="1000"/>
    <n v="1000"/>
    <n v="0"/>
    <n v="0"/>
    <m/>
    <s v="ok"/>
    <m/>
    <m/>
  </r>
  <r>
    <n v="527"/>
    <s v="Gahbiche"/>
    <s v="Zaineb"/>
    <d v="2016-11-25T00:00:00"/>
    <s v="F"/>
    <n v="99600668"/>
    <n v="94099313"/>
    <m/>
    <x v="1"/>
    <x v="34"/>
    <s v="( L1 C3 )"/>
    <x v="17"/>
    <n v="1000"/>
    <n v="0.1"/>
    <n v="900"/>
    <n v="600"/>
    <n v="300"/>
    <n v="0"/>
    <m/>
    <s v="ok"/>
    <m/>
    <m/>
  </r>
  <r>
    <n v="342"/>
    <s v="Hmidi"/>
    <s v="Slim"/>
    <d v="1981-09-28T00:00:00"/>
    <s v="M"/>
    <n v="52456422"/>
    <m/>
    <m/>
    <x v="4"/>
    <x v="0"/>
    <m/>
    <x v="5"/>
    <n v="500"/>
    <m/>
    <n v="500"/>
    <n v="500"/>
    <n v="0"/>
    <n v="0"/>
    <m/>
    <m/>
    <m/>
    <m/>
  </r>
  <r>
    <n v="343"/>
    <s v="Chabaane"/>
    <s v="Med Mehdi"/>
    <d v="1978-03-08T00:00:00"/>
    <s v="M"/>
    <n v="98581723"/>
    <m/>
    <m/>
    <x v="4"/>
    <x v="0"/>
    <m/>
    <x v="5"/>
    <n v="0"/>
    <m/>
    <n v="0"/>
    <n v="0"/>
    <n v="0"/>
    <n v="0"/>
    <m/>
    <m/>
    <m/>
    <m/>
  </r>
  <r>
    <n v="344"/>
    <s v="Ayachi"/>
    <s v="Mohamed Rami"/>
    <d v="1997-01-02T00:00:00"/>
    <s v="M"/>
    <n v="24901230"/>
    <m/>
    <m/>
    <x v="4"/>
    <x v="0"/>
    <m/>
    <x v="5"/>
    <n v="500"/>
    <m/>
    <n v="500"/>
    <n v="500"/>
    <n v="0"/>
    <n v="0"/>
    <m/>
    <m/>
    <m/>
    <m/>
  </r>
  <r>
    <n v="345"/>
    <s v="Kacem"/>
    <s v="Fadi"/>
    <d v="2000-03-03T00:00:00"/>
    <s v="M"/>
    <n v="20586844"/>
    <m/>
    <m/>
    <x v="4"/>
    <x v="0"/>
    <m/>
    <x v="5"/>
    <n v="250"/>
    <m/>
    <n v="250"/>
    <n v="250"/>
    <n v="0"/>
    <n v="0"/>
    <m/>
    <m/>
    <m/>
    <m/>
  </r>
  <r>
    <n v="346"/>
    <s v="Meksi"/>
    <s v="Hajer"/>
    <m/>
    <s v="F"/>
    <n v="24399911"/>
    <m/>
    <m/>
    <x v="4"/>
    <x v="0"/>
    <m/>
    <x v="5"/>
    <n v="500"/>
    <m/>
    <n v="500"/>
    <n v="500"/>
    <n v="0"/>
    <n v="0"/>
    <m/>
    <m/>
    <m/>
    <m/>
  </r>
  <r>
    <n v="347"/>
    <s v="Ferjani"/>
    <s v="Yassine"/>
    <d v="1976-08-16T00:00:00"/>
    <s v="M"/>
    <n v="28881035"/>
    <m/>
    <m/>
    <x v="4"/>
    <x v="0"/>
    <m/>
    <x v="5"/>
    <n v="500"/>
    <m/>
    <n v="500"/>
    <n v="500"/>
    <n v="0"/>
    <n v="0"/>
    <m/>
    <m/>
    <m/>
    <m/>
  </r>
  <r>
    <n v="348"/>
    <s v="Zbidi"/>
    <s v="Med Aymen"/>
    <d v="1979-05-19T00:00:00"/>
    <s v="M"/>
    <n v="52401158"/>
    <m/>
    <m/>
    <x v="4"/>
    <x v="51"/>
    <m/>
    <x v="15"/>
    <n v="500"/>
    <m/>
    <n v="500"/>
    <n v="500"/>
    <n v="0"/>
    <n v="0"/>
    <m/>
    <m/>
    <m/>
    <m/>
  </r>
  <r>
    <n v="349"/>
    <s v="Fekih"/>
    <s v="Slim"/>
    <d v="1986-04-28T00:00:00"/>
    <s v="M"/>
    <n v="24737861"/>
    <m/>
    <m/>
    <x v="4"/>
    <x v="54"/>
    <m/>
    <x v="6"/>
    <n v="500"/>
    <m/>
    <n v="500"/>
    <n v="500"/>
    <n v="0"/>
    <n v="0"/>
    <m/>
    <m/>
    <m/>
    <m/>
  </r>
  <r>
    <n v="350"/>
    <s v="Tabka"/>
    <s v="Meriem"/>
    <d v="1990-08-05T00:00:00"/>
    <s v="F"/>
    <n v="54424012"/>
    <m/>
    <m/>
    <x v="6"/>
    <x v="0"/>
    <s v="Adulte ou Club Junior DA"/>
    <x v="4"/>
    <n v="250"/>
    <m/>
    <n v="250"/>
    <n v="250"/>
    <n v="0"/>
    <n v="0"/>
    <m/>
    <m/>
    <m/>
    <m/>
  </r>
  <r>
    <n v="56"/>
    <s v="Dhib"/>
    <s v="Adam"/>
    <d v="2011-02-10T00:00:00"/>
    <s v="M"/>
    <n v="94606550"/>
    <m/>
    <m/>
    <x v="2"/>
    <x v="0"/>
    <m/>
    <x v="5"/>
    <n v="450"/>
    <m/>
    <n v="450"/>
    <n v="450"/>
    <n v="0"/>
    <s v="ok"/>
    <m/>
    <s v="ok"/>
    <m/>
    <m/>
  </r>
  <r>
    <n v="352"/>
    <s v="Jedidi"/>
    <s v="Achraf"/>
    <d v="1992-03-03T00:00:00"/>
    <s v="M"/>
    <n v="53933992"/>
    <m/>
    <m/>
    <x v="4"/>
    <x v="0"/>
    <m/>
    <x v="5"/>
    <n v="250"/>
    <m/>
    <n v="250"/>
    <n v="250"/>
    <n v="0"/>
    <n v="0"/>
    <m/>
    <m/>
    <m/>
    <m/>
  </r>
  <r>
    <n v="57"/>
    <s v="Dhib"/>
    <s v="Ayoub"/>
    <d v="2011-02-10T00:00:00"/>
    <s v="M"/>
    <n v="94606550"/>
    <m/>
    <m/>
    <x v="2"/>
    <x v="0"/>
    <m/>
    <x v="5"/>
    <n v="450"/>
    <m/>
    <n v="450"/>
    <n v="450"/>
    <n v="0"/>
    <n v="0"/>
    <m/>
    <s v="ok"/>
    <m/>
    <m/>
  </r>
  <r>
    <n v="15"/>
    <s v="Kahloun"/>
    <s v="Emna"/>
    <d v="2011-03-29T00:00:00"/>
    <s v="F"/>
    <n v="98610949"/>
    <m/>
    <m/>
    <x v="2"/>
    <x v="0"/>
    <m/>
    <x v="5"/>
    <n v="500"/>
    <m/>
    <n v="500"/>
    <n v="250"/>
    <n v="250"/>
    <n v="0"/>
    <m/>
    <s v="A quité"/>
    <m/>
    <m/>
  </r>
  <r>
    <n v="355"/>
    <s v="Boussetta"/>
    <s v="Achraf Kmar"/>
    <m/>
    <s v="M"/>
    <m/>
    <m/>
    <m/>
    <x v="4"/>
    <x v="0"/>
    <m/>
    <x v="5"/>
    <n v="200"/>
    <m/>
    <n v="200"/>
    <n v="200"/>
    <n v="0"/>
    <n v="0"/>
    <m/>
    <m/>
    <m/>
    <m/>
  </r>
  <r>
    <n v="356"/>
    <s v="Rziga"/>
    <s v="Khaled"/>
    <d v="1970-11-20T00:00:00"/>
    <s v="M"/>
    <n v="28996362"/>
    <m/>
    <m/>
    <x v="4"/>
    <x v="0"/>
    <m/>
    <x v="5"/>
    <n v="300"/>
    <m/>
    <n v="300"/>
    <n v="300"/>
    <n v="0"/>
    <n v="0"/>
    <m/>
    <m/>
    <m/>
    <m/>
  </r>
  <r>
    <n v="357"/>
    <s v="Ben Alaya"/>
    <s v="Mahmoud"/>
    <d v="1985-10-31T00:00:00"/>
    <s v="M"/>
    <n v="58533409"/>
    <m/>
    <m/>
    <x v="4"/>
    <x v="0"/>
    <m/>
    <x v="5"/>
    <n v="0"/>
    <m/>
    <n v="0"/>
    <n v="0"/>
    <n v="0"/>
    <n v="0"/>
    <m/>
    <m/>
    <m/>
    <m/>
  </r>
  <r>
    <n v="358"/>
    <s v="Zidani"/>
    <s v="Hajer"/>
    <d v="1988-03-11T00:00:00"/>
    <s v="F"/>
    <n v="50707220"/>
    <m/>
    <m/>
    <x v="4"/>
    <x v="0"/>
    <m/>
    <x v="5"/>
    <n v="0"/>
    <m/>
    <n v="0"/>
    <n v="0"/>
    <n v="0"/>
    <n v="0"/>
    <m/>
    <m/>
    <m/>
    <m/>
  </r>
  <r>
    <n v="17"/>
    <s v="Haded"/>
    <s v="Amine"/>
    <d v="2012-12-04T00:00:00"/>
    <s v="M"/>
    <n v="29923172"/>
    <m/>
    <m/>
    <x v="0"/>
    <x v="5"/>
    <s v="Benjamins 2013 A1"/>
    <x v="6"/>
    <n v="250"/>
    <m/>
    <n v="250"/>
    <n v="250"/>
    <n v="0"/>
    <s v="ne joue pas"/>
    <m/>
    <s v="A quité"/>
    <m/>
    <m/>
  </r>
  <r>
    <n v="54"/>
    <s v="Mekki"/>
    <s v="Hamza"/>
    <d v="2012-12-25T00:00:00"/>
    <s v="M"/>
    <n v="52393529"/>
    <m/>
    <m/>
    <x v="2"/>
    <x v="0"/>
    <m/>
    <x v="5"/>
    <n v="500"/>
    <m/>
    <n v="500"/>
    <n v="250"/>
    <n v="250"/>
    <s v="Ne répond pas"/>
    <m/>
    <s v="A quité"/>
    <m/>
    <m/>
  </r>
  <r>
    <n v="70"/>
    <s v="Mhiri"/>
    <s v="Sarra"/>
    <d v="2012-01-27T00:00:00"/>
    <s v="F"/>
    <n v="97499271"/>
    <m/>
    <m/>
    <x v="0"/>
    <x v="12"/>
    <m/>
    <x v="11"/>
    <n v="500"/>
    <m/>
    <n v="500"/>
    <n v="500"/>
    <n v="0"/>
    <n v="0"/>
    <m/>
    <s v="ok"/>
    <m/>
    <m/>
  </r>
  <r>
    <n v="73"/>
    <s v="Gandouz"/>
    <s v="Amen Allah Zaid"/>
    <d v="2008-04-14T00:00:00"/>
    <s v="M"/>
    <n v="52681901"/>
    <m/>
    <m/>
    <x v="0"/>
    <x v="19"/>
    <m/>
    <x v="3"/>
    <n v="250"/>
    <m/>
    <n v="250"/>
    <n v="250"/>
    <n v="0"/>
    <s v="A quité"/>
    <m/>
    <s v="A quité"/>
    <m/>
    <m/>
  </r>
  <r>
    <n v="363"/>
    <s v="Tounsi"/>
    <s v="Slim"/>
    <d v="1986-04-10T00:00:00"/>
    <s v="M"/>
    <n v="98581410"/>
    <m/>
    <m/>
    <x v="4"/>
    <x v="0"/>
    <m/>
    <x v="5"/>
    <n v="540"/>
    <m/>
    <n v="540"/>
    <n v="540"/>
    <n v="0"/>
    <n v="0"/>
    <m/>
    <m/>
    <m/>
    <m/>
  </r>
  <r>
    <n v="364"/>
    <s v="Garnaoui"/>
    <s v="Hamed Karim"/>
    <d v="1985-02-28T00:00:00"/>
    <s v="M"/>
    <n v="55280285"/>
    <m/>
    <m/>
    <x v="4"/>
    <x v="51"/>
    <m/>
    <x v="15"/>
    <n v="500"/>
    <m/>
    <n v="500"/>
    <n v="500"/>
    <n v="0"/>
    <n v="0"/>
    <m/>
    <m/>
    <m/>
    <m/>
  </r>
  <r>
    <n v="365"/>
    <s v="Hafsi"/>
    <s v="Manel"/>
    <d v="1982-09-02T00:00:00"/>
    <s v="F"/>
    <n v="27447763"/>
    <m/>
    <m/>
    <x v="7"/>
    <x v="0"/>
    <m/>
    <x v="5"/>
    <n v="0"/>
    <m/>
    <n v="0"/>
    <n v="0"/>
    <n v="0"/>
    <n v="0"/>
    <m/>
    <m/>
    <m/>
    <m/>
  </r>
  <r>
    <n v="366"/>
    <s v="Boudidah"/>
    <s v="Amel"/>
    <m/>
    <s v="F"/>
    <n v="24323717"/>
    <m/>
    <m/>
    <x v="4"/>
    <x v="29"/>
    <m/>
    <x v="7"/>
    <n v="500"/>
    <m/>
    <n v="500"/>
    <n v="500"/>
    <n v="0"/>
    <n v="0"/>
    <m/>
    <m/>
    <m/>
    <m/>
  </r>
  <r>
    <n v="367"/>
    <s v="Bouslama"/>
    <s v="Ghada"/>
    <d v="1987-10-20T00:00:00"/>
    <s v="F"/>
    <n v="22142003"/>
    <m/>
    <m/>
    <x v="4"/>
    <x v="0"/>
    <m/>
    <x v="5"/>
    <n v="0"/>
    <m/>
    <n v="0"/>
    <n v="0"/>
    <n v="0"/>
    <n v="0"/>
    <m/>
    <m/>
    <m/>
    <m/>
  </r>
  <r>
    <n v="368"/>
    <s v="Chamli"/>
    <s v="Amira"/>
    <d v="1989-02-18T00:00:00"/>
    <s v="F"/>
    <n v="55662425"/>
    <m/>
    <m/>
    <x v="4"/>
    <x v="0"/>
    <m/>
    <x v="5"/>
    <n v="0"/>
    <m/>
    <n v="0"/>
    <n v="0"/>
    <n v="0"/>
    <s v="Aya"/>
    <m/>
    <m/>
    <m/>
    <m/>
  </r>
  <r>
    <n v="369"/>
    <s v="Zahmoul"/>
    <s v="Hamed Helmi"/>
    <d v="1986-05-24T00:00:00"/>
    <s v="M"/>
    <n v="28996005"/>
    <m/>
    <m/>
    <x v="4"/>
    <x v="0"/>
    <m/>
    <x v="5"/>
    <n v="0"/>
    <m/>
    <n v="0"/>
    <n v="0"/>
    <n v="0"/>
    <s v="Ne répond pas"/>
    <m/>
    <m/>
    <m/>
    <m/>
  </r>
  <r>
    <n v="370"/>
    <s v="Ben Yahia"/>
    <s v="Meriem"/>
    <d v="2004-09-14T00:00:00"/>
    <s v="F"/>
    <n v="93101193"/>
    <m/>
    <m/>
    <x v="4"/>
    <x v="0"/>
    <m/>
    <x v="5"/>
    <n v="250"/>
    <m/>
    <n v="250"/>
    <n v="250"/>
    <n v="0"/>
    <n v="0"/>
    <m/>
    <m/>
    <m/>
    <m/>
  </r>
  <r>
    <n v="371"/>
    <s v="Khal Letaief"/>
    <s v="Raja"/>
    <d v="1955-02-03T00:00:00"/>
    <s v="F"/>
    <n v="98562803"/>
    <m/>
    <m/>
    <x v="4"/>
    <x v="0"/>
    <m/>
    <x v="5"/>
    <n v="0"/>
    <m/>
    <n v="0"/>
    <n v="0"/>
    <n v="0"/>
    <n v="0"/>
    <m/>
    <m/>
    <m/>
    <m/>
  </r>
  <r>
    <n v="372"/>
    <s v="Mdalla"/>
    <s v="Sarra"/>
    <d v="1990-11-15T00:00:00"/>
    <s v="F"/>
    <n v="98292004"/>
    <m/>
    <m/>
    <x v="4"/>
    <x v="0"/>
    <m/>
    <x v="5"/>
    <n v="0"/>
    <m/>
    <n v="0"/>
    <n v="0"/>
    <n v="0"/>
    <s v="A quité"/>
    <m/>
    <m/>
    <m/>
    <m/>
  </r>
  <r>
    <n v="89"/>
    <s v="Sassi"/>
    <s v="Dania"/>
    <d v="2008-09-17T00:00:00"/>
    <s v="F"/>
    <n v="98407480"/>
    <m/>
    <m/>
    <x v="2"/>
    <x v="0"/>
    <m/>
    <x v="5"/>
    <n v="500"/>
    <m/>
    <n v="500"/>
    <n v="500"/>
    <n v="0"/>
    <n v="0"/>
    <m/>
    <s v="ok"/>
    <m/>
    <m/>
  </r>
  <r>
    <n v="96"/>
    <s v="Zalfeni"/>
    <s v="Alaa"/>
    <d v="2008-11-10T00:00:00"/>
    <s v="F"/>
    <n v="58561303"/>
    <m/>
    <m/>
    <x v="0"/>
    <x v="19"/>
    <m/>
    <x v="3"/>
    <n v="500"/>
    <m/>
    <n v="500"/>
    <n v="250"/>
    <n v="250"/>
    <n v="0"/>
    <m/>
    <s v="A quité"/>
    <m/>
    <m/>
  </r>
  <r>
    <n v="375"/>
    <s v="Zardi"/>
    <s v="Yassine"/>
    <d v="2004-05-03T00:00:00"/>
    <s v="M"/>
    <n v="98452283"/>
    <n v="98980830"/>
    <m/>
    <x v="0"/>
    <x v="9"/>
    <s v="Club Junior DB ou DA?"/>
    <x v="7"/>
    <n v="500"/>
    <m/>
    <n v="500"/>
    <n v="500"/>
    <n v="0"/>
    <n v="0"/>
    <m/>
    <m/>
    <m/>
    <m/>
  </r>
  <r>
    <n v="376"/>
    <s v="Ben Ameur"/>
    <s v="Mohamed"/>
    <d v="2001-05-23T00:00:00"/>
    <s v="M"/>
    <n v="58540028"/>
    <m/>
    <m/>
    <x v="4"/>
    <x v="0"/>
    <m/>
    <x v="5"/>
    <n v="0"/>
    <m/>
    <n v="0"/>
    <n v="0"/>
    <n v="0"/>
    <n v="0"/>
    <m/>
    <m/>
    <m/>
    <m/>
  </r>
  <r>
    <n v="377"/>
    <s v="Nsir"/>
    <s v="Med Akram"/>
    <d v="2002-09-18T00:00:00"/>
    <s v="M"/>
    <n v="97502569"/>
    <m/>
    <m/>
    <x v="4"/>
    <x v="13"/>
    <m/>
    <x v="5"/>
    <n v="0"/>
    <m/>
    <n v="0"/>
    <n v="0"/>
    <n v="0"/>
    <n v="0"/>
    <m/>
    <m/>
    <m/>
    <m/>
  </r>
  <r>
    <n v="116"/>
    <s v="Barteji"/>
    <s v="Ahmed"/>
    <d v="2005-11-11T00:00:00"/>
    <s v="M"/>
    <n v="98504045"/>
    <m/>
    <m/>
    <x v="0"/>
    <x v="9"/>
    <s v="club junior"/>
    <x v="7"/>
    <n v="500"/>
    <m/>
    <n v="250"/>
    <n v="250"/>
    <n v="0"/>
    <n v="0"/>
    <m/>
    <s v="Ne répond pas"/>
    <m/>
    <m/>
  </r>
  <r>
    <n v="379"/>
    <s v="Chahed"/>
    <s v="Maher"/>
    <d v="1979-09-10T00:00:00"/>
    <s v="M"/>
    <n v="99160600"/>
    <m/>
    <m/>
    <x v="4"/>
    <x v="54"/>
    <m/>
    <x v="6"/>
    <n v="600"/>
    <m/>
    <n v="600"/>
    <n v="600"/>
    <n v="0"/>
    <n v="0"/>
    <m/>
    <m/>
    <m/>
    <m/>
  </r>
  <r>
    <n v="380"/>
    <s v="Koobar"/>
    <s v="Amir"/>
    <d v="1987-11-17T00:00:00"/>
    <s v="M"/>
    <n v="21239127"/>
    <m/>
    <m/>
    <x v="4"/>
    <x v="54"/>
    <m/>
    <x v="6"/>
    <n v="600"/>
    <m/>
    <n v="600"/>
    <n v="600"/>
    <n v="0"/>
    <n v="0"/>
    <m/>
    <m/>
    <m/>
    <m/>
  </r>
  <r>
    <n v="123"/>
    <s v="Abid"/>
    <s v="Julia"/>
    <d v="2018-08-13T00:00:00"/>
    <s v="F"/>
    <n v="99347763"/>
    <m/>
    <m/>
    <x v="0"/>
    <x v="41"/>
    <s v="Pré-Lutins 2018"/>
    <x v="15"/>
    <n v="500"/>
    <m/>
    <n v="500"/>
    <n v="500"/>
    <n v="0"/>
    <m/>
    <m/>
    <m/>
    <m/>
    <m/>
  </r>
  <r>
    <n v="382"/>
    <s v="Ltaief"/>
    <s v="Ibtissem"/>
    <d v="1987-05-26T00:00:00"/>
    <s v="F"/>
    <n v="28881034"/>
    <m/>
    <m/>
    <x v="4"/>
    <x v="0"/>
    <m/>
    <x v="5"/>
    <n v="500"/>
    <m/>
    <n v="500"/>
    <n v="500"/>
    <n v="0"/>
    <n v="0"/>
    <m/>
    <m/>
    <m/>
    <m/>
  </r>
  <r>
    <n v="383"/>
    <s v="Fekih"/>
    <s v="Ahmed"/>
    <d v="1986-10-03T00:00:00"/>
    <s v="M"/>
    <n v="96300697"/>
    <m/>
    <m/>
    <x v="4"/>
    <x v="0"/>
    <m/>
    <x v="5"/>
    <n v="500"/>
    <m/>
    <n v="500"/>
    <n v="500"/>
    <n v="0"/>
    <n v="0"/>
    <m/>
    <m/>
    <m/>
    <m/>
  </r>
  <r>
    <n v="384"/>
    <s v="Fnayou"/>
    <s v="Med Aziz"/>
    <d v="1998-05-16T00:00:00"/>
    <s v="M"/>
    <n v="99480987"/>
    <m/>
    <m/>
    <x v="8"/>
    <x v="0"/>
    <m/>
    <x v="5"/>
    <m/>
    <m/>
    <n v="0"/>
    <n v="0"/>
    <n v="0"/>
    <n v="0"/>
    <m/>
    <m/>
    <m/>
    <m/>
  </r>
  <r>
    <n v="126"/>
    <s v="Belhadj"/>
    <s v="Salma"/>
    <d v="2017-06-16T00:00:00"/>
    <s v="F"/>
    <n v="98679820"/>
    <n v="97964130"/>
    <m/>
    <x v="0"/>
    <x v="0"/>
    <s v="Lutin 2015-2016N"/>
    <x v="5"/>
    <n v="500"/>
    <m/>
    <n v="500"/>
    <n v="250"/>
    <n v="250"/>
    <s v="Ne répond pas"/>
    <m/>
    <s v="A quité"/>
    <m/>
    <m/>
  </r>
  <r>
    <n v="386"/>
    <s v="Gharbi"/>
    <s v="Nadhir"/>
    <d v="2010-02-13T00:00:00"/>
    <s v="M"/>
    <n v="52696261"/>
    <m/>
    <m/>
    <x v="0"/>
    <x v="0"/>
    <s v="Club Junior DC"/>
    <x v="2"/>
    <n v="500"/>
    <m/>
    <n v="500"/>
    <n v="500"/>
    <n v="0"/>
    <n v="0"/>
    <m/>
    <m/>
    <m/>
    <m/>
  </r>
  <r>
    <n v="387"/>
    <s v="Boughamoura"/>
    <s v="Adem"/>
    <d v="2010-03-02T00:00:00"/>
    <s v="M"/>
    <n v="97526899"/>
    <m/>
    <m/>
    <x v="0"/>
    <x v="0"/>
    <m/>
    <x v="5"/>
    <n v="250"/>
    <m/>
    <n v="250"/>
    <n v="250"/>
    <n v="0"/>
    <n v="0"/>
    <m/>
    <m/>
    <m/>
    <m/>
  </r>
  <r>
    <n v="169"/>
    <s v="El Aarem"/>
    <s v="Kenza"/>
    <d v="2018-08-18T00:00:00"/>
    <s v="F"/>
    <n v="53815834"/>
    <m/>
    <m/>
    <x v="0"/>
    <x v="0"/>
    <s v="Pré-Lutins 2018"/>
    <x v="5"/>
    <n v="500"/>
    <m/>
    <n v="500"/>
    <n v="500"/>
    <n v="0"/>
    <n v="0"/>
    <m/>
    <s v="Ne répond pas"/>
    <m/>
    <m/>
  </r>
  <r>
    <n v="389"/>
    <s v="Boukadida"/>
    <s v="Ons"/>
    <d v="2010-04-13T00:00:00"/>
    <s v="F"/>
    <n v="98503081"/>
    <m/>
    <m/>
    <x v="0"/>
    <x v="27"/>
    <s v="Club Junior A"/>
    <x v="3"/>
    <n v="250"/>
    <m/>
    <n v="250"/>
    <n v="250"/>
    <n v="0"/>
    <n v="0"/>
    <m/>
    <m/>
    <m/>
    <m/>
  </r>
  <r>
    <n v="390"/>
    <s v="Kriaa"/>
    <s v="Awes"/>
    <d v="2010-05-05T00:00:00"/>
    <s v="M"/>
    <n v="97597389"/>
    <m/>
    <m/>
    <x v="0"/>
    <x v="9"/>
    <s v="Club Junior"/>
    <x v="7"/>
    <n v="500"/>
    <m/>
    <n v="500"/>
    <n v="500"/>
    <n v="0"/>
    <n v="0"/>
    <m/>
    <m/>
    <m/>
    <m/>
  </r>
  <r>
    <n v="178"/>
    <s v="Chebil"/>
    <s v="Mira"/>
    <d v="2017-09-15T00:00:00"/>
    <s v="F"/>
    <n v="53377966"/>
    <m/>
    <m/>
    <x v="0"/>
    <x v="0"/>
    <s v="Pré-Lutins 2017 A1"/>
    <x v="5"/>
    <n v="500"/>
    <m/>
    <n v="500"/>
    <n v="250"/>
    <n v="250"/>
    <n v="0"/>
    <m/>
    <s v="A voir"/>
    <m/>
    <m/>
  </r>
  <r>
    <n v="392"/>
    <s v="Mlika "/>
    <s v="Med Aziz"/>
    <d v="2010-03-16T00:00:00"/>
    <s v="M"/>
    <n v="98536333"/>
    <m/>
    <m/>
    <x v="2"/>
    <x v="0"/>
    <m/>
    <x v="5"/>
    <n v="0"/>
    <m/>
    <n v="0"/>
    <n v="0"/>
    <n v="0"/>
    <n v="0"/>
    <m/>
    <m/>
    <m/>
    <m/>
  </r>
  <r>
    <n v="193"/>
    <s v="Jaballah Essid"/>
    <s v="Miral"/>
    <d v="2017-02-10T00:00:00"/>
    <s v="F"/>
    <n v="96758840"/>
    <m/>
    <m/>
    <x v="2"/>
    <x v="0"/>
    <m/>
    <x v="5"/>
    <n v="500"/>
    <m/>
    <n v="500"/>
    <n v="250"/>
    <n v="250"/>
    <n v="0"/>
    <m/>
    <s v="A quité"/>
    <m/>
    <m/>
  </r>
  <r>
    <n v="195"/>
    <s v="Chebil"/>
    <s v="Maya"/>
    <d v="2017-09-15T00:00:00"/>
    <s v="F"/>
    <n v="50450330"/>
    <m/>
    <m/>
    <x v="0"/>
    <x v="0"/>
    <s v="Pré-Lutins 2017 A1"/>
    <x v="5"/>
    <n v="500"/>
    <m/>
    <n v="500"/>
    <n v="250"/>
    <n v="250"/>
    <n v="0"/>
    <m/>
    <s v="A voir"/>
    <m/>
    <m/>
  </r>
  <r>
    <n v="395"/>
    <s v="Ben Romdhane"/>
    <s v="Med Yassine"/>
    <d v="2009-07-04T00:00:00"/>
    <s v="M"/>
    <n v="92934702"/>
    <m/>
    <m/>
    <x v="2"/>
    <x v="0"/>
    <m/>
    <x v="5"/>
    <n v="500"/>
    <m/>
    <n v="500"/>
    <n v="500"/>
    <n v="0"/>
    <n v="0"/>
    <m/>
    <m/>
    <m/>
    <m/>
  </r>
  <r>
    <n v="396"/>
    <s v="Guetari"/>
    <s v="Hedi"/>
    <d v="2010-04-04T00:00:00"/>
    <s v="M"/>
    <n v="98364748"/>
    <m/>
    <m/>
    <x v="0"/>
    <x v="4"/>
    <s v="club junior"/>
    <x v="6"/>
    <n v="500"/>
    <m/>
    <n v="500"/>
    <n v="500"/>
    <n v="0"/>
    <n v="0"/>
    <m/>
    <m/>
    <m/>
    <m/>
  </r>
  <r>
    <n v="212"/>
    <s v="Ben Khalifa"/>
    <s v="Jouri"/>
    <d v="2018-05-18T00:00:00"/>
    <s v="F"/>
    <n v="55235009"/>
    <m/>
    <m/>
    <x v="2"/>
    <x v="0"/>
    <m/>
    <x v="5"/>
    <n v="500"/>
    <m/>
    <n v="500"/>
    <n v="250"/>
    <n v="250"/>
    <n v="0"/>
    <m/>
    <s v="Ne répond pas"/>
    <m/>
    <m/>
  </r>
  <r>
    <n v="226"/>
    <s v="Ben Ahmed"/>
    <s v="Linda"/>
    <d v="2018-12-05T00:00:00"/>
    <s v="F"/>
    <n v="98258892"/>
    <m/>
    <m/>
    <x v="2"/>
    <x v="0"/>
    <m/>
    <x v="5"/>
    <n v="250"/>
    <m/>
    <n v="250"/>
    <n v="250"/>
    <n v="0"/>
    <s v="A quité"/>
    <m/>
    <s v="A quité"/>
    <m/>
    <m/>
  </r>
  <r>
    <n v="235"/>
    <s v="Mili"/>
    <s v="Emna"/>
    <d v="2016-02-26T00:00:00"/>
    <s v="F"/>
    <n v="29946130"/>
    <m/>
    <m/>
    <x v="2"/>
    <x v="0"/>
    <m/>
    <x v="5"/>
    <n v="500"/>
    <m/>
    <n v="500"/>
    <n v="250"/>
    <n v="250"/>
    <n v="0"/>
    <m/>
    <s v="A quité"/>
    <m/>
    <m/>
  </r>
  <r>
    <n v="400"/>
    <s v="Bouaouina"/>
    <s v="Yara"/>
    <d v="2010-02-19T00:00:00"/>
    <s v="F"/>
    <n v="94827563"/>
    <n v="98228614"/>
    <n v="0"/>
    <x v="0"/>
    <x v="27"/>
    <s v="Club Junior A"/>
    <x v="3"/>
    <n v="500"/>
    <n v="0"/>
    <n v="500"/>
    <n v="500"/>
    <n v="0"/>
    <s v="ok"/>
    <m/>
    <m/>
    <m/>
    <m/>
  </r>
  <r>
    <n v="401"/>
    <s v="Dimassi"/>
    <s v="Khalil"/>
    <d v="2009-08-13T00:00:00"/>
    <s v="M"/>
    <n v="29939660"/>
    <n v="0"/>
    <n v="0"/>
    <x v="0"/>
    <x v="0"/>
    <s v="club junior"/>
    <x v="7"/>
    <n v="500"/>
    <n v="0"/>
    <n v="500"/>
    <n v="500"/>
    <n v="0"/>
    <n v="0"/>
    <m/>
    <m/>
    <m/>
    <m/>
  </r>
  <r>
    <n v="404"/>
    <s v="Sdiri"/>
    <s v="Selim"/>
    <d v="2009-11-06T00:00:00"/>
    <s v="M"/>
    <n v="98225077"/>
    <n v="98686088"/>
    <n v="0"/>
    <x v="2"/>
    <x v="0"/>
    <n v="0"/>
    <x v="25"/>
    <n v="500"/>
    <n v="0"/>
    <n v="500"/>
    <n v="500"/>
    <n v="0"/>
    <s v="ok"/>
    <m/>
    <m/>
    <m/>
    <m/>
  </r>
  <r>
    <n v="405"/>
    <s v="Bouslama"/>
    <s v="Ahmed Khalil"/>
    <d v="2010-08-08T00:00:00"/>
    <s v="M"/>
    <n v="29990871"/>
    <n v="53077586"/>
    <n v="0"/>
    <x v="0"/>
    <x v="0"/>
    <s v="Club Junior DA"/>
    <x v="4"/>
    <n v="500"/>
    <n v="0"/>
    <n v="500"/>
    <n v="500"/>
    <n v="0"/>
    <s v="Ne répond pas"/>
    <m/>
    <m/>
    <m/>
    <m/>
  </r>
  <r>
    <n v="407"/>
    <s v="Okeeb"/>
    <s v="Yassmine"/>
    <d v="2010-12-06T00:00:00"/>
    <s v="F"/>
    <n v="98666854"/>
    <n v="24162772"/>
    <n v="0"/>
    <x v="2"/>
    <x v="0"/>
    <n v="0"/>
    <x v="25"/>
    <n v="500"/>
    <n v="0"/>
    <n v="500"/>
    <n v="500"/>
    <n v="0"/>
    <s v="Ne répond pas"/>
    <m/>
    <m/>
    <m/>
    <m/>
  </r>
  <r>
    <n v="408"/>
    <s v="Harbi"/>
    <s v="Nour"/>
    <d v="2009-10-22T00:00:00"/>
    <s v="F"/>
    <n v="55449626"/>
    <m/>
    <m/>
    <x v="0"/>
    <x v="0"/>
    <s v="Club Junior DA"/>
    <x v="4"/>
    <n v="500"/>
    <m/>
    <n v="500"/>
    <n v="500"/>
    <n v="0"/>
    <n v="0"/>
    <m/>
    <m/>
    <m/>
    <m/>
  </r>
  <r>
    <n v="409"/>
    <s v="Bourkhis"/>
    <s v="Samer"/>
    <d v="2010-12-13T00:00:00"/>
    <s v="M"/>
    <n v="56797450"/>
    <m/>
    <m/>
    <x v="1"/>
    <x v="33"/>
    <s v="( MC2)"/>
    <x v="8"/>
    <n v="1000"/>
    <m/>
    <n v="1000"/>
    <n v="1000"/>
    <n v="0"/>
    <n v="0"/>
    <m/>
    <m/>
    <m/>
    <m/>
  </r>
  <r>
    <n v="410"/>
    <s v="Aamri"/>
    <s v="Alee"/>
    <d v="2010-12-06T00:00:00"/>
    <s v="F"/>
    <n v="98237595"/>
    <n v="97092620"/>
    <s v="amri.saber@gmail.com"/>
    <x v="0"/>
    <x v="27"/>
    <m/>
    <x v="3"/>
    <n v="500"/>
    <m/>
    <n v="500"/>
    <n v="500"/>
    <n v="0"/>
    <n v="0"/>
    <m/>
    <m/>
    <m/>
    <m/>
  </r>
  <r>
    <n v="244"/>
    <s v="Nahdi"/>
    <s v="Kmar Nour"/>
    <d v="2016-08-08T00:00:00"/>
    <s v="F"/>
    <n v="95352372"/>
    <m/>
    <m/>
    <x v="0"/>
    <x v="40"/>
    <s v="Lutins 2015-2016N"/>
    <x v="7"/>
    <n v="500"/>
    <m/>
    <n v="500"/>
    <n v="250"/>
    <n v="250"/>
    <n v="0"/>
    <m/>
    <s v="ok"/>
    <m/>
    <m/>
  </r>
  <r>
    <n v="412"/>
    <s v="Morjen"/>
    <s v="Aysar"/>
    <d v="2010-12-03T00:00:00"/>
    <s v="M"/>
    <n v="98981027"/>
    <n v="97956342"/>
    <m/>
    <x v="0"/>
    <x v="0"/>
    <s v="Club Junior DA"/>
    <x v="4"/>
    <n v="500"/>
    <m/>
    <n v="500"/>
    <n v="500"/>
    <n v="0"/>
    <n v="0"/>
    <m/>
    <m/>
    <m/>
    <m/>
  </r>
  <r>
    <n v="413"/>
    <s v="Larbi"/>
    <s v="Youssef"/>
    <d v="2009-05-19T00:00:00"/>
    <s v="M"/>
    <n v="56828118"/>
    <n v="98442080"/>
    <s v="larbi.youssef19@gmail.com"/>
    <x v="2"/>
    <x v="0"/>
    <m/>
    <x v="5"/>
    <n v="500"/>
    <m/>
    <n v="500"/>
    <n v="500"/>
    <n v="0"/>
    <n v="0"/>
    <m/>
    <m/>
    <m/>
    <m/>
  </r>
  <r>
    <n v="414"/>
    <s v="Chtioui"/>
    <s v="Yassine"/>
    <d v="2009-09-03T00:00:00"/>
    <s v="M"/>
    <n v="27353584"/>
    <n v="51242975"/>
    <s v="nabil.chtioui71@gmail.com"/>
    <x v="0"/>
    <x v="19"/>
    <m/>
    <x v="3"/>
    <n v="500"/>
    <m/>
    <n v="500"/>
    <n v="500"/>
    <n v="0"/>
    <n v="0"/>
    <m/>
    <m/>
    <m/>
    <m/>
  </r>
  <r>
    <n v="415"/>
    <s v="Lahouar"/>
    <s v="Youssef"/>
    <d v="2010-08-10T00:00:00"/>
    <s v="M"/>
    <n v="98276649"/>
    <n v="93892828"/>
    <s v="samirlahouar@gmail.com"/>
    <x v="0"/>
    <x v="0"/>
    <s v="Club Junior DA"/>
    <x v="4"/>
    <n v="500"/>
    <m/>
    <n v="500"/>
    <n v="500"/>
    <n v="0"/>
    <s v="Ne répond pas"/>
    <m/>
    <m/>
    <m/>
    <m/>
  </r>
  <r>
    <n v="416"/>
    <s v="Ben Khlil"/>
    <s v="Khalil"/>
    <d v="2014-10-20T00:00:00"/>
    <s v="M"/>
    <n v="51500000"/>
    <n v="50866558"/>
    <m/>
    <x v="0"/>
    <x v="47"/>
    <s v="Poussins 2014-2015"/>
    <x v="3"/>
    <n v="450"/>
    <m/>
    <n v="450"/>
    <n v="450"/>
    <n v="0"/>
    <s v="Ne répond pas"/>
    <m/>
    <m/>
    <m/>
    <m/>
  </r>
  <r>
    <n v="262"/>
    <s v="Jomaa"/>
    <s v="Sarra"/>
    <d v="2016-10-26T00:00:00"/>
    <s v="F"/>
    <n v="98558481"/>
    <m/>
    <m/>
    <x v="0"/>
    <x v="40"/>
    <s v="Lutins 2015-2016N"/>
    <x v="7"/>
    <n v="500"/>
    <m/>
    <n v="500"/>
    <n v="250"/>
    <n v="250"/>
    <s v="ok"/>
    <m/>
    <s v="Photographe"/>
    <m/>
    <m/>
  </r>
  <r>
    <n v="418"/>
    <s v="Grissa"/>
    <s v="Youssef"/>
    <d v="2009-02-10T00:00:00"/>
    <s v="M"/>
    <n v="25909350"/>
    <n v="21402152"/>
    <m/>
    <x v="2"/>
    <x v="0"/>
    <m/>
    <x v="5"/>
    <n v="450"/>
    <m/>
    <n v="450"/>
    <n v="450"/>
    <n v="0"/>
    <s v="ok"/>
    <m/>
    <m/>
    <m/>
    <m/>
  </r>
  <r>
    <n v="419"/>
    <s v="Ncir"/>
    <s v="Salma"/>
    <d v="2009-04-07T00:00:00"/>
    <s v="F"/>
    <n v="98332750"/>
    <n v="95510222"/>
    <s v="mourad.nsir@hotmail.fr"/>
    <x v="0"/>
    <x v="25"/>
    <s v="Club Junior N"/>
    <x v="7"/>
    <n v="500"/>
    <m/>
    <n v="500"/>
    <n v="500"/>
    <n v="0"/>
    <s v="450 youssef ltaief"/>
    <m/>
    <m/>
    <m/>
    <m/>
  </r>
  <r>
    <n v="420"/>
    <s v="Boughattas"/>
    <s v="Salmen"/>
    <d v="2009-04-24T00:00:00"/>
    <s v="M"/>
    <n v="96522748"/>
    <m/>
    <m/>
    <x v="0"/>
    <x v="9"/>
    <s v="Club Junior N"/>
    <x v="7"/>
    <n v="500"/>
    <m/>
    <n v="500"/>
    <n v="500"/>
    <n v="0"/>
    <n v="0"/>
    <m/>
    <m/>
    <m/>
    <m/>
  </r>
  <r>
    <n v="421"/>
    <s v="Jouini"/>
    <s v="Youssef"/>
    <d v="2010-04-30T00:00:00"/>
    <s v="M"/>
    <n v="98566444"/>
    <n v="50383872"/>
    <s v="fathi75@hotmail.fr"/>
    <x v="0"/>
    <x v="9"/>
    <s v="club Junior DA"/>
    <x v="7"/>
    <n v="500"/>
    <m/>
    <n v="500"/>
    <n v="500"/>
    <n v="0"/>
    <n v="0"/>
    <m/>
    <m/>
    <m/>
    <m/>
  </r>
  <r>
    <n v="422"/>
    <s v="Kouas"/>
    <s v="Brahim"/>
    <d v="2009-08-03T00:00:00"/>
    <s v="M"/>
    <n v="98276746"/>
    <n v="98686533"/>
    <s v="kouasbrahim42@gmail.com"/>
    <x v="0"/>
    <x v="0"/>
    <s v="Club Junior DC"/>
    <x v="2"/>
    <n v="0"/>
    <m/>
    <n v="0"/>
    <n v="0"/>
    <n v="0"/>
    <n v="0"/>
    <m/>
    <m/>
    <m/>
    <m/>
  </r>
  <r>
    <n v="423"/>
    <s v="Nebli"/>
    <s v="Céline"/>
    <d v="2014-08-30T00:00:00"/>
    <s v="F"/>
    <n v="21350259"/>
    <n v="27566077"/>
    <m/>
    <x v="0"/>
    <x v="18"/>
    <s v="Poussins 2014 N"/>
    <x v="7"/>
    <n v="500"/>
    <m/>
    <n v="500"/>
    <n v="500"/>
    <n v="0"/>
    <n v="0"/>
    <m/>
    <m/>
    <m/>
    <m/>
  </r>
  <r>
    <n v="424"/>
    <s v="Rouatbi"/>
    <s v="Racil"/>
    <d v="2014-10-27T00:00:00"/>
    <s v="F"/>
    <n v="98416081"/>
    <n v="98480444"/>
    <s v="hanene.letaief@tunisietelecom.tn"/>
    <x v="0"/>
    <x v="47"/>
    <s v="Poussins 2014-2015"/>
    <x v="3"/>
    <n v="500"/>
    <m/>
    <n v="500"/>
    <n v="500"/>
    <n v="0"/>
    <s v="Ne répond pas"/>
    <m/>
    <m/>
    <m/>
    <m/>
  </r>
  <r>
    <n v="425"/>
    <s v="Doudech"/>
    <s v="Kenza"/>
    <d v="2013-09-26T00:00:00"/>
    <s v="F"/>
    <n v="98312245"/>
    <n v="27400050"/>
    <s v="benmeddeb.wefa@gmail.com"/>
    <x v="2"/>
    <x v="0"/>
    <m/>
    <x v="5"/>
    <n v="250"/>
    <m/>
    <n v="250"/>
    <n v="250"/>
    <n v="0"/>
    <s v="va voir avec m,abedlaal"/>
    <m/>
    <m/>
    <m/>
    <m/>
  </r>
  <r>
    <n v="426"/>
    <s v="Farhat"/>
    <s v="Maram"/>
    <d v="2013-11-09T00:00:00"/>
    <s v="F"/>
    <n v="97373537"/>
    <m/>
    <m/>
    <x v="0"/>
    <x v="8"/>
    <m/>
    <x v="7"/>
    <n v="500"/>
    <m/>
    <n v="500"/>
    <n v="500"/>
    <n v="0"/>
    <n v="0"/>
    <m/>
    <m/>
    <m/>
    <m/>
  </r>
  <r>
    <n v="427"/>
    <s v="Fourati"/>
    <s v="Abdelhedi"/>
    <d v="2014-10-28T00:00:00"/>
    <s v="M"/>
    <n v="58401753"/>
    <n v="58300231"/>
    <s v="mehdifourati@gmail.com"/>
    <x v="2"/>
    <x v="0"/>
    <m/>
    <x v="5"/>
    <n v="500"/>
    <m/>
    <n v="500"/>
    <n v="500"/>
    <n v="0"/>
    <n v="0"/>
    <m/>
    <m/>
    <m/>
    <m/>
  </r>
  <r>
    <n v="428"/>
    <s v="Ben Chaa"/>
    <s v="Mohamed"/>
    <d v="2014-10-08T00:00:00"/>
    <s v="M"/>
    <n v="22131461"/>
    <n v="29951177"/>
    <s v="benchaayoussef@gmail.com"/>
    <x v="0"/>
    <x v="3"/>
    <s v="poussin 2"/>
    <x v="4"/>
    <n v="500"/>
    <m/>
    <n v="500"/>
    <n v="500"/>
    <n v="0"/>
    <n v="0"/>
    <m/>
    <m/>
    <m/>
    <m/>
  </r>
  <r>
    <n v="263"/>
    <s v="Jegham"/>
    <s v="Sandra"/>
    <d v="2016-09-08T00:00:00"/>
    <s v="F"/>
    <n v="98983583"/>
    <m/>
    <m/>
    <x v="0"/>
    <x v="49"/>
    <s v="Lutins 2016-2017"/>
    <x v="4"/>
    <n v="500"/>
    <m/>
    <n v="500"/>
    <n v="250"/>
    <n v="250"/>
    <n v="0"/>
    <m/>
    <s v="A quité"/>
    <m/>
    <m/>
  </r>
  <r>
    <n v="275"/>
    <s v="Chebil"/>
    <s v="Yara"/>
    <d v="2015-01-30T00:00:00"/>
    <s v="F"/>
    <n v="53377966"/>
    <m/>
    <m/>
    <x v="0"/>
    <x v="0"/>
    <s v="Lutins 2015-2016 A"/>
    <x v="23"/>
    <n v="500"/>
    <m/>
    <n v="500"/>
    <n v="250"/>
    <n v="250"/>
    <n v="0"/>
    <m/>
    <s v="A voir"/>
    <m/>
    <m/>
  </r>
  <r>
    <n v="431"/>
    <s v="Boudidah"/>
    <s v="Cyrine"/>
    <d v="2013-11-23T00:00:00"/>
    <s v="F"/>
    <n v="25796673"/>
    <n v="24323717"/>
    <m/>
    <x v="0"/>
    <x v="5"/>
    <s v="Benjamins 2013 A1"/>
    <x v="6"/>
    <n v="500"/>
    <m/>
    <n v="500"/>
    <n v="500"/>
    <n v="0"/>
    <n v="0"/>
    <m/>
    <m/>
    <m/>
    <m/>
  </r>
  <r>
    <n v="432"/>
    <s v="Khouja"/>
    <s v="Amira"/>
    <d v="2013-07-05T00:00:00"/>
    <s v="F"/>
    <n v="98404024"/>
    <n v="98825941"/>
    <m/>
    <x v="0"/>
    <x v="21"/>
    <s v="Benjamins N"/>
    <x v="7"/>
    <n v="500"/>
    <m/>
    <n v="500"/>
    <n v="500"/>
    <n v="0"/>
    <n v="0"/>
    <m/>
    <m/>
    <m/>
    <m/>
  </r>
  <r>
    <n v="433"/>
    <s v="Baklouti Sayah"/>
    <s v="Zied"/>
    <d v="2014-11-07T00:00:00"/>
    <s v="M"/>
    <n v="97664325"/>
    <n v="54160663"/>
    <s v="sania.mili.sayah@gmail.com"/>
    <x v="0"/>
    <x v="30"/>
    <s v="Poussins 2014"/>
    <x v="3"/>
    <n v="500"/>
    <m/>
    <n v="500"/>
    <n v="500"/>
    <n v="0"/>
    <n v="0"/>
    <m/>
    <m/>
    <m/>
    <m/>
  </r>
  <r>
    <n v="434"/>
    <s v="Ben Ahmad"/>
    <s v="Zaineb"/>
    <d v="2014-01-11T00:00:00"/>
    <s v="F"/>
    <n v="24113619"/>
    <n v="20400892"/>
    <m/>
    <x v="2"/>
    <x v="0"/>
    <m/>
    <x v="5"/>
    <n v="0"/>
    <m/>
    <n v="0"/>
    <n v="0"/>
    <n v="0"/>
    <n v="0"/>
    <m/>
    <m/>
    <m/>
    <m/>
  </r>
  <r>
    <n v="435"/>
    <s v="charef"/>
    <s v="Khadija"/>
    <d v="2014-07-01T00:00:00"/>
    <s v="F"/>
    <n v="98519989"/>
    <n v="95610400"/>
    <m/>
    <x v="0"/>
    <x v="57"/>
    <s v="Lutins 2014-2015 A"/>
    <x v="6"/>
    <n v="450"/>
    <m/>
    <n v="450"/>
    <n v="450"/>
    <n v="0"/>
    <n v="0"/>
    <m/>
    <m/>
    <m/>
    <m/>
  </r>
  <r>
    <n v="436"/>
    <s v="Khechine"/>
    <s v="Maya"/>
    <d v="2014-08-22T00:00:00"/>
    <s v="F"/>
    <n v="58335796"/>
    <n v="55244999"/>
    <m/>
    <x v="2"/>
    <x v="0"/>
    <m/>
    <x v="5"/>
    <n v="450"/>
    <m/>
    <n v="450"/>
    <n v="450"/>
    <n v="0"/>
    <n v="0"/>
    <m/>
    <m/>
    <m/>
    <m/>
  </r>
  <r>
    <n v="308"/>
    <s v="Ben Ahmed"/>
    <s v="Sarra"/>
    <d v="2016-11-21T00:00:00"/>
    <s v="F"/>
    <n v="20687643"/>
    <m/>
    <m/>
    <x v="0"/>
    <x v="57"/>
    <s v="Lutins 2014-2015 A"/>
    <x v="6"/>
    <n v="500"/>
    <m/>
    <n v="500"/>
    <n v="250"/>
    <n v="250"/>
    <n v="0"/>
    <m/>
    <s v="Ne répond pas"/>
    <m/>
    <m/>
  </r>
  <r>
    <n v="438"/>
    <s v="Zoghlami"/>
    <s v="Omar"/>
    <d v="2014-02-26T00:00:00"/>
    <s v="M"/>
    <n v="97124995"/>
    <m/>
    <s v="wafajomaa@hotmail.fr"/>
    <x v="0"/>
    <x v="3"/>
    <s v="Poussins 2014-2015"/>
    <x v="4"/>
    <n v="500"/>
    <m/>
    <n v="500"/>
    <n v="500"/>
    <n v="0"/>
    <n v="0"/>
    <m/>
    <m/>
    <m/>
    <m/>
  </r>
  <r>
    <n v="439"/>
    <s v="Dardour"/>
    <s v="Mehdi"/>
    <d v="2013-09-04T00:00:00"/>
    <s v="M"/>
    <n v="55199525"/>
    <n v="25875901"/>
    <m/>
    <x v="0"/>
    <x v="5"/>
    <s v="Benjamins 2013 A1"/>
    <x v="6"/>
    <n v="450"/>
    <m/>
    <n v="450"/>
    <n v="450"/>
    <n v="0"/>
    <n v="0"/>
    <m/>
    <m/>
    <m/>
    <m/>
  </r>
  <r>
    <n v="440"/>
    <s v="Essid"/>
    <s v="Fatma"/>
    <d v="2013-02-13T00:00:00"/>
    <s v="F"/>
    <n v="98528698"/>
    <n v="98769115"/>
    <s v="ahmed_essid@hotmail.com"/>
    <x v="0"/>
    <x v="5"/>
    <s v="Benjamins 2013 A1"/>
    <x v="6"/>
    <n v="450"/>
    <m/>
    <n v="450"/>
    <n v="450"/>
    <n v="0"/>
    <n v="0"/>
    <m/>
    <m/>
    <m/>
    <m/>
  </r>
  <r>
    <n v="441"/>
    <s v="Karmani"/>
    <s v="Farah"/>
    <d v="2014-02-15T00:00:00"/>
    <s v="F"/>
    <n v="98686249"/>
    <n v="23716409"/>
    <s v="alicarmani@hotmail.de"/>
    <x v="0"/>
    <x v="18"/>
    <s v="Poussins 2014 N"/>
    <x v="7"/>
    <n v="500"/>
    <m/>
    <n v="500"/>
    <n v="500"/>
    <n v="0"/>
    <n v="0"/>
    <m/>
    <m/>
    <m/>
    <m/>
  </r>
  <r>
    <n v="313"/>
    <s v="Ben Ahmed"/>
    <s v="Youssef"/>
    <d v="2015-05-07T00:00:00"/>
    <s v="M"/>
    <n v="20687643"/>
    <m/>
    <m/>
    <x v="0"/>
    <x v="57"/>
    <s v="Lutins 2014-2015 A"/>
    <x v="6"/>
    <n v="500"/>
    <m/>
    <n v="500"/>
    <n v="250"/>
    <n v="250"/>
    <s v="ok"/>
    <m/>
    <s v="Ne répond pas"/>
    <m/>
    <m/>
  </r>
  <r>
    <n v="443"/>
    <s v="Slama"/>
    <s v="Rayen"/>
    <d v="2014-06-28T00:00:00"/>
    <s v="M"/>
    <n v="46460046"/>
    <n v="29913541"/>
    <s v="saidnermine@yahoo.com"/>
    <x v="2"/>
    <x v="0"/>
    <m/>
    <x v="5"/>
    <n v="0"/>
    <m/>
    <n v="0"/>
    <n v="0"/>
    <n v="0"/>
    <n v="0"/>
    <m/>
    <m/>
    <m/>
    <m/>
  </r>
  <r>
    <n v="444"/>
    <s v="Bouraoui"/>
    <s v="Aya"/>
    <d v="2014-04-08T00:00:00"/>
    <s v="F"/>
    <n v="99769955"/>
    <m/>
    <s v="nbbouraoui02@gmail.com"/>
    <x v="0"/>
    <x v="30"/>
    <s v="Poussins 2014"/>
    <x v="3"/>
    <n v="500"/>
    <m/>
    <n v="500"/>
    <n v="500"/>
    <n v="0"/>
    <n v="0"/>
    <m/>
    <m/>
    <m/>
    <m/>
  </r>
  <r>
    <n v="445"/>
    <s v="Belhadj Khalifa"/>
    <s v="Lina"/>
    <d v="2013-06-13T00:00:00"/>
    <s v="F"/>
    <n v="56697210"/>
    <n v="54727028"/>
    <s v="belhajseif@icloud.com"/>
    <x v="0"/>
    <x v="0"/>
    <s v="Poussins 2014 N"/>
    <x v="26"/>
    <n v="450"/>
    <m/>
    <n v="450"/>
    <n v="450"/>
    <n v="0"/>
    <n v="0"/>
    <m/>
    <m/>
    <m/>
    <m/>
  </r>
  <r>
    <n v="446"/>
    <s v="Belhadj Yahiya"/>
    <s v="Iris"/>
    <d v="2013-09-11T00:00:00"/>
    <s v="F"/>
    <n v="98250051"/>
    <n v="97883063"/>
    <s v="sofiennebh1@gmail.com"/>
    <x v="0"/>
    <x v="5"/>
    <s v="Benjamins 2013 A1"/>
    <x v="6"/>
    <n v="500"/>
    <m/>
    <n v="500"/>
    <n v="500"/>
    <n v="0"/>
    <s v="ok"/>
    <m/>
    <m/>
    <m/>
    <m/>
  </r>
  <r>
    <n v="324"/>
    <s v="Gandouz"/>
    <s v="Zeineb"/>
    <d v="2015-11-28T00:00:00"/>
    <s v="F"/>
    <n v="25137766"/>
    <m/>
    <m/>
    <x v="0"/>
    <x v="39"/>
    <s v="Lutin 2015-2016N"/>
    <x v="15"/>
    <n v="500"/>
    <m/>
    <n v="500"/>
    <n v="250"/>
    <n v="250"/>
    <n v="0"/>
    <m/>
    <s v="Ne répond pas"/>
    <m/>
    <m/>
  </r>
  <r>
    <n v="329"/>
    <s v="Morjen"/>
    <s v="Anis"/>
    <d v="1973-09-09T00:00:00"/>
    <s v="M"/>
    <n v="97499550"/>
    <m/>
    <m/>
    <x v="4"/>
    <x v="0"/>
    <m/>
    <x v="5"/>
    <n v="500"/>
    <m/>
    <n v="500"/>
    <n v="250"/>
    <n v="250"/>
    <n v="0"/>
    <m/>
    <s v="Ne répond pas"/>
    <m/>
    <m/>
  </r>
  <r>
    <n v="449"/>
    <s v="Abdennadher"/>
    <s v="Nourine"/>
    <d v="2014-01-15T00:00:00"/>
    <s v="F"/>
    <n v="96608220"/>
    <n v="22726272"/>
    <s v="chaouacherym@gmail.com"/>
    <x v="0"/>
    <x v="50"/>
    <s v="Lutins 2015 A"/>
    <x v="3"/>
    <n v="450"/>
    <m/>
    <n v="450"/>
    <n v="450"/>
    <n v="0"/>
    <n v="0"/>
    <m/>
    <m/>
    <m/>
    <m/>
  </r>
  <r>
    <n v="450"/>
    <s v="Dhieb"/>
    <s v="Chahd"/>
    <d v="2013-09-18T00:00:00"/>
    <s v="F"/>
    <n v="93559804"/>
    <n v="24951406"/>
    <m/>
    <x v="0"/>
    <x v="0"/>
    <s v="Benjamins 2012-2013"/>
    <x v="5"/>
    <n v="450"/>
    <m/>
    <n v="450"/>
    <n v="450"/>
    <n v="0"/>
    <n v="0"/>
    <m/>
    <m/>
    <m/>
    <m/>
  </r>
  <r>
    <n v="360"/>
    <s v="Elmanaa"/>
    <s v="Mohamed"/>
    <d v="1988-01-19T00:00:00"/>
    <s v="M"/>
    <n v="22399304"/>
    <m/>
    <m/>
    <x v="4"/>
    <x v="54"/>
    <m/>
    <x v="6"/>
    <n v="500"/>
    <m/>
    <n v="500"/>
    <n v="250"/>
    <n v="250"/>
    <n v="0"/>
    <m/>
    <s v="Ne répond pas"/>
    <m/>
    <m/>
  </r>
  <r>
    <n v="452"/>
    <s v="Jegham"/>
    <s v="Islem"/>
    <d v="2013-08-26T00:00:00"/>
    <s v="F"/>
    <n v="98563066"/>
    <n v="58301826"/>
    <m/>
    <x v="0"/>
    <x v="16"/>
    <s v="Benjamins 2013 A2"/>
    <x v="4"/>
    <n v="500"/>
    <m/>
    <n v="500"/>
    <n v="500"/>
    <n v="0"/>
    <n v="0"/>
    <m/>
    <m/>
    <m/>
    <m/>
  </r>
  <r>
    <n v="453"/>
    <s v="Zbidi"/>
    <s v="Med Aziz"/>
    <d v="2013-11-05T00:00:00"/>
    <s v="M"/>
    <n v="98268624"/>
    <n v="52401198"/>
    <m/>
    <x v="0"/>
    <x v="5"/>
    <s v="Benjamins 2013 A1"/>
    <x v="6"/>
    <n v="500"/>
    <m/>
    <n v="500"/>
    <n v="500"/>
    <n v="0"/>
    <n v="0"/>
    <m/>
    <m/>
    <m/>
    <m/>
  </r>
  <r>
    <n v="454"/>
    <s v="Zandeh"/>
    <s v="Med Amine"/>
    <d v="2014-01-27T00:00:00"/>
    <s v="M"/>
    <n v="53663504"/>
    <n v="50610797"/>
    <s v="jawhar.zend@gmail.com"/>
    <x v="0"/>
    <x v="0"/>
    <s v="Lutins 2015 A"/>
    <x v="15"/>
    <n v="100"/>
    <m/>
    <n v="100"/>
    <n v="100"/>
    <n v="0"/>
    <s v="ok"/>
    <m/>
    <m/>
    <m/>
    <m/>
  </r>
  <r>
    <n v="455"/>
    <s v="Ben Rejab"/>
    <s v="Rayhane"/>
    <d v="2013-01-10T00:00:00"/>
    <s v="F"/>
    <n v="24190900"/>
    <m/>
    <m/>
    <x v="0"/>
    <x v="16"/>
    <s v="Benjamins 2013 A2"/>
    <x v="4"/>
    <n v="500"/>
    <m/>
    <n v="500"/>
    <n v="500"/>
    <n v="0"/>
    <n v="0"/>
    <m/>
    <m/>
    <m/>
    <m/>
  </r>
  <r>
    <n v="456"/>
    <s v="Gharsallah"/>
    <s v="Eline"/>
    <d v="2013-08-15T00:00:00"/>
    <s v="F"/>
    <n v="98480517"/>
    <n v="58406652"/>
    <s v="wafa_gandouz@hotmail.com"/>
    <x v="0"/>
    <x v="59"/>
    <m/>
    <x v="3"/>
    <n v="500"/>
    <m/>
    <n v="500"/>
    <n v="500"/>
    <n v="0"/>
    <n v="0"/>
    <m/>
    <m/>
    <m/>
    <m/>
  </r>
  <r>
    <n v="457"/>
    <s v="Ben Anaya"/>
    <s v="Younes"/>
    <d v="2014-09-29T00:00:00"/>
    <s v="M"/>
    <n v="99523844"/>
    <n v="99051000"/>
    <s v="benaneya.sami@gmail.com"/>
    <x v="0"/>
    <x v="12"/>
    <m/>
    <x v="11"/>
    <n v="500"/>
    <m/>
    <n v="500"/>
    <n v="500"/>
    <n v="0"/>
    <n v="0"/>
    <m/>
    <m/>
    <m/>
    <m/>
  </r>
  <r>
    <n v="458"/>
    <s v="Ayedi"/>
    <s v="Maya"/>
    <d v="2014-09-27T00:00:00"/>
    <s v="F"/>
    <n v="24108958"/>
    <n v="25909966"/>
    <s v="malek.rkhaoui@gmail.com"/>
    <x v="0"/>
    <x v="18"/>
    <s v="Poussins 2014 N"/>
    <x v="7"/>
    <n v="450"/>
    <m/>
    <n v="450"/>
    <n v="450"/>
    <n v="0"/>
    <n v="0"/>
    <m/>
    <m/>
    <m/>
    <m/>
  </r>
  <r>
    <n v="361"/>
    <s v="Attia"/>
    <s v="Mhamed"/>
    <d v="1997-11-20T00:00:00"/>
    <s v="M"/>
    <n v="50575578"/>
    <m/>
    <m/>
    <x v="4"/>
    <x v="0"/>
    <m/>
    <x v="5"/>
    <n v="500"/>
    <m/>
    <n v="500"/>
    <n v="250"/>
    <n v="250"/>
    <n v="0"/>
    <m/>
    <s v="Ne répond pas"/>
    <m/>
    <m/>
  </r>
  <r>
    <n v="460"/>
    <s v="Ayedi"/>
    <s v="Adem"/>
    <d v="2014-09-27T00:00:00"/>
    <s v="M"/>
    <n v="24108958"/>
    <n v="27909966"/>
    <s v="malek.rkhaoui@gmail.com"/>
    <x v="0"/>
    <x v="18"/>
    <s v="Poussins 2014 N"/>
    <x v="7"/>
    <n v="450"/>
    <m/>
    <n v="450"/>
    <n v="450"/>
    <n v="0"/>
    <n v="0"/>
    <m/>
    <m/>
    <m/>
    <m/>
  </r>
  <r>
    <n v="461"/>
    <s v="Khmiri"/>
    <s v="Zayneb"/>
    <d v="2014-04-11T00:00:00"/>
    <s v="F"/>
    <n v="98276014"/>
    <n v="94332555"/>
    <m/>
    <x v="0"/>
    <x v="30"/>
    <s v="Poussins 2014"/>
    <x v="3"/>
    <n v="500"/>
    <m/>
    <n v="500"/>
    <n v="500"/>
    <n v="0"/>
    <n v="0"/>
    <m/>
    <m/>
    <m/>
    <m/>
  </r>
  <r>
    <n v="462"/>
    <s v="Ayed"/>
    <s v="Yazid"/>
    <d v="2014-08-23T00:00:00"/>
    <s v="M"/>
    <n v="55381529"/>
    <n v="28400978"/>
    <s v="ayed.wassim@yahoo.com"/>
    <x v="0"/>
    <x v="3"/>
    <s v="Ramzi"/>
    <x v="4"/>
    <n v="500"/>
    <n v="0.1"/>
    <n v="450"/>
    <n v="450"/>
    <n v="0"/>
    <n v="0"/>
    <m/>
    <m/>
    <m/>
    <m/>
  </r>
  <r>
    <n v="463"/>
    <s v="Kammoun"/>
    <s v="Slim"/>
    <d v="2014-03-21T00:00:00"/>
    <s v="M"/>
    <n v="50531522"/>
    <n v="58561782"/>
    <s v="tarek.kammoun@gmail.com"/>
    <x v="0"/>
    <x v="52"/>
    <s v="Lutins 2014-2015 A"/>
    <x v="15"/>
    <n v="500"/>
    <m/>
    <n v="500"/>
    <n v="500"/>
    <n v="0"/>
    <n v="0"/>
    <m/>
    <m/>
    <m/>
    <m/>
  </r>
  <r>
    <n v="464"/>
    <s v="Trabelsi"/>
    <s v="Baya"/>
    <d v="2013-02-05T00:00:00"/>
    <s v="F"/>
    <n v="27516001"/>
    <n v="27151503"/>
    <m/>
    <x v="0"/>
    <x v="5"/>
    <s v="Benjamins 2013 A1"/>
    <x v="6"/>
    <n v="500"/>
    <m/>
    <n v="500"/>
    <n v="500"/>
    <n v="0"/>
    <n v="0"/>
    <m/>
    <m/>
    <m/>
    <m/>
  </r>
  <r>
    <n v="465"/>
    <s v="Ahmed"/>
    <s v="Meriem"/>
    <d v="2014-03-28T00:00:00"/>
    <s v="F"/>
    <n v="26749213"/>
    <n v="26749085"/>
    <m/>
    <x v="0"/>
    <x v="0"/>
    <s v="Benjamins "/>
    <x v="7"/>
    <n v="500"/>
    <m/>
    <n v="500"/>
    <n v="500"/>
    <n v="0"/>
    <s v="ok"/>
    <m/>
    <m/>
    <m/>
    <m/>
  </r>
  <r>
    <n v="466"/>
    <s v="Roukaya"/>
    <s v="Rima"/>
    <d v="2014-01-10T00:00:00"/>
    <s v="F"/>
    <n v="96379076"/>
    <n v="54797113"/>
    <m/>
    <x v="2"/>
    <x v="0"/>
    <m/>
    <x v="5"/>
    <n v="500"/>
    <m/>
    <n v="500"/>
    <n v="500"/>
    <n v="0"/>
    <n v="0"/>
    <m/>
    <m/>
    <m/>
    <m/>
  </r>
  <r>
    <n v="391"/>
    <s v="Ben Saad"/>
    <s v="Molka"/>
    <d v="2010-10-18T00:00:00"/>
    <s v="F"/>
    <n v="94644924"/>
    <m/>
    <m/>
    <x v="2"/>
    <x v="0"/>
    <m/>
    <x v="5"/>
    <n v="250"/>
    <m/>
    <n v="250"/>
    <n v="0"/>
    <n v="250"/>
    <n v="0"/>
    <m/>
    <s v="Ne répond pas"/>
    <m/>
    <m/>
  </r>
  <r>
    <n v="429"/>
    <s v="Ben Kilani"/>
    <s v="Farah"/>
    <d v="2014-05-21T00:00:00"/>
    <s v="F"/>
    <n v="97449886"/>
    <n v="22424114"/>
    <m/>
    <x v="0"/>
    <x v="18"/>
    <s v="Poussins 2014 N"/>
    <x v="7"/>
    <n v="500"/>
    <m/>
    <n v="500"/>
    <n v="250"/>
    <n v="250"/>
    <n v="0"/>
    <m/>
    <s v="Ne répond pas"/>
    <m/>
    <m/>
  </r>
  <r>
    <n v="469"/>
    <s v="Ben Abdallah"/>
    <s v="Moetaz"/>
    <d v="2013-09-30T00:00:00"/>
    <s v="M"/>
    <n v="22824514"/>
    <n v="28041704"/>
    <m/>
    <x v="0"/>
    <x v="8"/>
    <s v="Benjamins 2012 N"/>
    <x v="7"/>
    <n v="500"/>
    <m/>
    <n v="500"/>
    <n v="500"/>
    <n v="0"/>
    <n v="0"/>
    <m/>
    <m/>
    <m/>
    <m/>
  </r>
  <r>
    <n v="470"/>
    <s v="Chelly"/>
    <s v="Yassine"/>
    <d v="2013-09-28T00:00:00"/>
    <s v="M"/>
    <n v="97263084"/>
    <n v="50480027"/>
    <s v="chellynizar@tadreex.com"/>
    <x v="0"/>
    <x v="47"/>
    <m/>
    <x v="3"/>
    <n v="500"/>
    <m/>
    <n v="500"/>
    <n v="500"/>
    <n v="0"/>
    <n v="0"/>
    <m/>
    <m/>
    <m/>
    <m/>
  </r>
  <r>
    <n v="471"/>
    <s v="Jemour"/>
    <s v="Sandra"/>
    <d v="2014-11-25T00:00:00"/>
    <s v="F"/>
    <n v="50404094"/>
    <n v="50404094"/>
    <s v="baati.soheyla@gmail.com"/>
    <x v="0"/>
    <x v="3"/>
    <s v="Poussins 2014-2015"/>
    <x v="4"/>
    <n v="500"/>
    <m/>
    <n v="500"/>
    <n v="500"/>
    <n v="0"/>
    <n v="0"/>
    <m/>
    <m/>
    <m/>
    <m/>
  </r>
  <r>
    <n v="472"/>
    <s v="Khalfallah"/>
    <s v="Aram"/>
    <d v="2014-04-30T00:00:00"/>
    <s v="F"/>
    <n v="22585637"/>
    <m/>
    <s v="boughattashajer@gmail.com"/>
    <x v="0"/>
    <x v="3"/>
    <s v="Poussins 2014-2015"/>
    <x v="4"/>
    <n v="500"/>
    <m/>
    <n v="500"/>
    <n v="500"/>
    <n v="0"/>
    <n v="0"/>
    <m/>
    <m/>
    <m/>
    <m/>
  </r>
  <r>
    <n v="473"/>
    <s v="Mawen"/>
    <s v="Salma"/>
    <d v="2014-12-12T00:00:00"/>
    <s v="F"/>
    <n v="98790855"/>
    <m/>
    <s v="asma.b.salah@gmail.com"/>
    <x v="2"/>
    <x v="0"/>
    <m/>
    <x v="5"/>
    <n v="200"/>
    <m/>
    <n v="200"/>
    <n v="200"/>
    <n v="0"/>
    <n v="0"/>
    <m/>
    <m/>
    <m/>
    <m/>
  </r>
  <r>
    <n v="474"/>
    <s v="Sahloul"/>
    <s v="Sarra"/>
    <d v="2014-02-05T00:00:00"/>
    <s v="F"/>
    <n v="98622440"/>
    <n v="29466910"/>
    <m/>
    <x v="0"/>
    <x v="12"/>
    <s v="2014/2015 A"/>
    <x v="11"/>
    <n v="500"/>
    <m/>
    <n v="500"/>
    <n v="500"/>
    <n v="0"/>
    <n v="0"/>
    <m/>
    <m/>
    <m/>
    <m/>
  </r>
  <r>
    <n v="459"/>
    <s v="Brahem"/>
    <s v="Adam"/>
    <d v="2013-12-21T00:00:00"/>
    <s v="M"/>
    <n v="25250255"/>
    <n v="51703103"/>
    <m/>
    <x v="0"/>
    <x v="21"/>
    <s v="Benjamins N"/>
    <x v="7"/>
    <n v="500"/>
    <m/>
    <n v="500"/>
    <n v="450"/>
    <n v="50"/>
    <n v="0"/>
    <m/>
    <s v="ok"/>
    <m/>
    <m/>
  </r>
  <r>
    <n v="476"/>
    <s v="Zarrad"/>
    <s v="Yosr"/>
    <d v="2014-03-01T00:00:00"/>
    <s v="F"/>
    <n v="53122281"/>
    <n v="50561229"/>
    <s v="zarrad.ramzi61@gmail.com"/>
    <x v="0"/>
    <x v="0"/>
    <s v="Lutins 2015 A"/>
    <x v="15"/>
    <n v="450"/>
    <m/>
    <n v="450"/>
    <n v="450"/>
    <n v="0"/>
    <s v="ok"/>
    <m/>
    <m/>
    <m/>
    <m/>
  </r>
  <r>
    <n v="477"/>
    <s v="Boudabous"/>
    <s v="Haroun"/>
    <d v="2014-04-09T00:00:00"/>
    <s v="M"/>
    <n v="27447763"/>
    <m/>
    <s v="mannel8hafsi@yahoo.fr"/>
    <x v="0"/>
    <x v="61"/>
    <s v="Lutins 2014-2015 A"/>
    <x v="15"/>
    <n v="500"/>
    <m/>
    <n v="500"/>
    <n v="500"/>
    <n v="0"/>
    <s v="Ne répond pas"/>
    <m/>
    <m/>
    <m/>
    <m/>
  </r>
  <r>
    <n v="478"/>
    <s v="Lahouar"/>
    <s v="Sameh Chaabene"/>
    <d v="2014-07-19T00:00:00"/>
    <s v="M"/>
    <n v="25387502"/>
    <n v="21104061"/>
    <m/>
    <x v="2"/>
    <x v="0"/>
    <m/>
    <x v="5"/>
    <n v="500"/>
    <m/>
    <n v="500"/>
    <n v="500"/>
    <n v="0"/>
    <s v="ok"/>
    <m/>
    <m/>
    <m/>
    <m/>
  </r>
  <r>
    <n v="479"/>
    <s v="Chtioui"/>
    <s v="Cyrine"/>
    <d v="2013-01-25T00:00:00"/>
    <s v="F"/>
    <n v="27353584"/>
    <n v="51242975"/>
    <s v="nabil.chtioui71@gmail.com"/>
    <x v="0"/>
    <x v="5"/>
    <s v="Benjamins 2013 A1"/>
    <x v="6"/>
    <n v="500"/>
    <m/>
    <n v="500"/>
    <n v="500"/>
    <n v="0"/>
    <n v="0"/>
    <m/>
    <m/>
    <m/>
    <m/>
  </r>
  <r>
    <n v="480"/>
    <s v="Ben Mariem"/>
    <s v="Israa"/>
    <d v="2014-06-03T00:00:00"/>
    <s v="F"/>
    <n v="22808808"/>
    <n v="22253971"/>
    <m/>
    <x v="0"/>
    <x v="40"/>
    <s v="Lutins 2015-2016"/>
    <x v="7"/>
    <n v="500"/>
    <m/>
    <n v="500"/>
    <n v="500"/>
    <n v="0"/>
    <s v="ok"/>
    <m/>
    <m/>
    <m/>
    <m/>
  </r>
  <r>
    <n v="475"/>
    <s v="Ben Ammar"/>
    <s v="Neyrouz"/>
    <d v="2014-11-03T00:00:00"/>
    <s v="F"/>
    <n v="22283003"/>
    <n v="28158383"/>
    <m/>
    <x v="0"/>
    <x v="0"/>
    <s v="Poussins 2014 N"/>
    <x v="26"/>
    <n v="500"/>
    <m/>
    <n v="500"/>
    <n v="250"/>
    <n v="250"/>
    <s v="Ne répond pas"/>
    <m/>
    <s v="Ne répond pas"/>
    <m/>
    <m/>
  </r>
  <r>
    <n v="481"/>
    <s v="Aamara"/>
    <s v="Isra"/>
    <d v="2014-04-06T00:00:00"/>
    <s v="F"/>
    <n v="56606090"/>
    <n v="20444441"/>
    <m/>
    <x v="0"/>
    <x v="50"/>
    <s v="Poussins 2014 A"/>
    <x v="3"/>
    <n v="500"/>
    <m/>
    <n v="500"/>
    <n v="250"/>
    <n v="250"/>
    <n v="0"/>
    <m/>
    <s v="ok"/>
    <m/>
    <m/>
  </r>
  <r>
    <n v="482"/>
    <s v="Lahouar"/>
    <s v="Selim"/>
    <d v="2014-02-11T00:00:00"/>
    <s v="M"/>
    <n v="98276649"/>
    <n v="93892828"/>
    <s v="samirlahouar@gmail.com"/>
    <x v="0"/>
    <x v="61"/>
    <m/>
    <x v="15"/>
    <n v="500"/>
    <m/>
    <n v="500"/>
    <n v="500"/>
    <n v="0"/>
    <n v="0"/>
    <m/>
    <s v="Ne répond pas"/>
    <m/>
    <m/>
  </r>
  <r>
    <n v="484"/>
    <s v="Moussa"/>
    <s v="Meriem"/>
    <d v="2013-09-29T00:00:00"/>
    <s v="F"/>
    <n v="98676794"/>
    <n v="58224444"/>
    <s v="moussa.morsi@gmail.com"/>
    <x v="0"/>
    <x v="12"/>
    <s v="Benjamins "/>
    <x v="11"/>
    <n v="500"/>
    <m/>
    <n v="500"/>
    <n v="500"/>
    <n v="0"/>
    <n v="0"/>
    <m/>
    <m/>
    <m/>
    <m/>
  </r>
  <r>
    <n v="483"/>
    <s v="Nouicer"/>
    <s v="Fayrouz"/>
    <d v="2014-07-15T00:00:00"/>
    <s v="F"/>
    <n v="96068802"/>
    <n v="92872825"/>
    <m/>
    <x v="0"/>
    <x v="40"/>
    <s v="Lutins 2015-2016N"/>
    <x v="7"/>
    <n v="500"/>
    <m/>
    <n v="500"/>
    <n v="250"/>
    <n v="250"/>
    <s v="ok"/>
    <m/>
    <s v="A quité"/>
    <m/>
    <m/>
  </r>
  <r>
    <n v="486"/>
    <s v="Souayah"/>
    <s v="Khalil"/>
    <d v="2014-01-27T00:00:00"/>
    <s v="M"/>
    <n v="20220909"/>
    <n v="29220904"/>
    <s v="souayeh.noureddine@hotmail.com"/>
    <x v="0"/>
    <x v="47"/>
    <s v="Poussins 2014-2015"/>
    <x v="3"/>
    <n v="400"/>
    <m/>
    <n v="400"/>
    <n v="400"/>
    <n v="0"/>
    <s v="Ne répond pas"/>
    <m/>
    <m/>
    <m/>
    <m/>
  </r>
  <r>
    <n v="487"/>
    <s v="Bouzir"/>
    <s v="Mehdi"/>
    <d v="2013-01-21T00:00:00"/>
    <s v="M"/>
    <n v="97287287"/>
    <n v="24301970"/>
    <m/>
    <x v="0"/>
    <x v="5"/>
    <s v="Benjamins 2013 A1"/>
    <x v="6"/>
    <n v="500"/>
    <m/>
    <n v="500"/>
    <n v="500"/>
    <n v="0"/>
    <s v="Ne répond pas"/>
    <m/>
    <m/>
    <m/>
    <m/>
  </r>
  <r>
    <n v="488"/>
    <s v="Bahmen"/>
    <s v="Iris"/>
    <d v="2014-11-28T00:00:00"/>
    <s v="F"/>
    <n v="21414503"/>
    <n v="27453973"/>
    <s v="ramzi.bahmen@hotmail.fr"/>
    <x v="0"/>
    <x v="61"/>
    <s v="Lutins 2014-2015 A"/>
    <x v="15"/>
    <n v="450"/>
    <m/>
    <n v="450"/>
    <n v="450"/>
    <n v="0"/>
    <n v="0"/>
    <m/>
    <m/>
    <m/>
    <m/>
  </r>
  <r>
    <n v="489"/>
    <s v="Ben Khalifa"/>
    <s v="Mehdi"/>
    <d v="2014-06-06T00:00:00"/>
    <s v="M"/>
    <n v="99141150"/>
    <n v="55235009"/>
    <m/>
    <x v="2"/>
    <x v="0"/>
    <m/>
    <x v="5"/>
    <n v="500"/>
    <m/>
    <n v="500"/>
    <n v="250"/>
    <n v="250"/>
    <n v="0"/>
    <m/>
    <s v="Ne répond pas"/>
    <m/>
    <m/>
  </r>
  <r>
    <n v="490"/>
    <s v="Bacha"/>
    <s v="Haroun"/>
    <d v="2014-10-08T00:00:00"/>
    <s v="M"/>
    <n v="23819728"/>
    <n v="50372290"/>
    <s v="wissembacha1@gmail.com"/>
    <x v="2"/>
    <x v="0"/>
    <m/>
    <x v="5"/>
    <n v="250"/>
    <m/>
    <n v="250"/>
    <n v="250"/>
    <n v="0"/>
    <n v="0"/>
    <m/>
    <m/>
    <m/>
    <m/>
  </r>
  <r>
    <n v="502"/>
    <s v="Guehis"/>
    <s v="Med Iyed"/>
    <d v="2014-02-26T00:00:00"/>
    <s v="M"/>
    <n v="24539944"/>
    <n v="25386532"/>
    <s v="nesrin.benaicha@gmail.com"/>
    <x v="0"/>
    <x v="30"/>
    <s v="Poussins 2014"/>
    <x v="3"/>
    <n v="500"/>
    <m/>
    <n v="500"/>
    <n v="500"/>
    <n v="0"/>
    <s v="Ne répond pas"/>
    <m/>
    <s v="ok"/>
    <m/>
    <m/>
  </r>
  <r>
    <n v="507"/>
    <s v="Khelifi"/>
    <s v="Maya"/>
    <d v="2013-04-03T00:00:00"/>
    <s v="F"/>
    <n v="93228590"/>
    <m/>
    <m/>
    <x v="0"/>
    <x v="59"/>
    <m/>
    <x v="3"/>
    <n v="500"/>
    <m/>
    <n v="500"/>
    <n v="250"/>
    <n v="250"/>
    <n v="0"/>
    <m/>
    <s v="Ne répond pas"/>
    <m/>
    <m/>
  </r>
  <r>
    <n v="493"/>
    <s v="Mrad"/>
    <s v="Youssef"/>
    <d v="2014-12-14T00:00:00"/>
    <s v="M"/>
    <n v="97227397"/>
    <n v="97452863"/>
    <s v="mradseif@yahoo.fr"/>
    <x v="0"/>
    <x v="30"/>
    <s v="Poussins 2014"/>
    <x v="3"/>
    <n v="500"/>
    <m/>
    <n v="500"/>
    <n v="500"/>
    <n v="0"/>
    <n v="0"/>
    <m/>
    <m/>
    <m/>
    <m/>
  </r>
  <r>
    <n v="494"/>
    <s v="Daouas"/>
    <s v="Meriem"/>
    <d v="2014-11-03T00:00:00"/>
    <s v="F"/>
    <n v="98536250"/>
    <n v="29697353"/>
    <s v="manelsouididaouas@gmail.com"/>
    <x v="0"/>
    <x v="47"/>
    <m/>
    <x v="3"/>
    <n v="450"/>
    <m/>
    <n v="450"/>
    <n v="450"/>
    <n v="0"/>
    <n v="0"/>
    <m/>
    <m/>
    <m/>
    <m/>
  </r>
  <r>
    <n v="495"/>
    <s v="Lili"/>
    <s v="Lina"/>
    <d v="2013-04-28T00:00:00"/>
    <s v="F"/>
    <n v="98455897"/>
    <n v="97226912"/>
    <s v="imedlili@somt.tn"/>
    <x v="2"/>
    <x v="0"/>
    <m/>
    <x v="5"/>
    <n v="400"/>
    <m/>
    <n v="400"/>
    <n v="400"/>
    <n v="0"/>
    <s v="ok"/>
    <m/>
    <m/>
    <m/>
    <m/>
  </r>
  <r>
    <n v="496"/>
    <s v="Khayati"/>
    <s v="Molka"/>
    <d v="2014-05-09T00:00:00"/>
    <s v="F"/>
    <n v="55056560"/>
    <n v="28714917"/>
    <s v="rania.jebri@gmail.com"/>
    <x v="0"/>
    <x v="50"/>
    <s v="Lutins 2015 A"/>
    <x v="3"/>
    <n v="450"/>
    <m/>
    <n v="450"/>
    <n v="450"/>
    <n v="0"/>
    <s v="Ne répond pas"/>
    <m/>
    <m/>
    <m/>
    <m/>
  </r>
  <r>
    <n v="497"/>
    <s v="Gandouz"/>
    <s v="Soulaima"/>
    <d v="2014-10-07T00:00:00"/>
    <s v="F"/>
    <n v="55166252"/>
    <n v="53876344"/>
    <s v="ineslatiri@yahoo.fr"/>
    <x v="0"/>
    <x v="21"/>
    <s v="Benjamins N"/>
    <x v="7"/>
    <n v="250"/>
    <m/>
    <n v="250"/>
    <n v="250"/>
    <n v="0"/>
    <s v="Ne répond pas"/>
    <m/>
    <m/>
    <m/>
    <m/>
  </r>
  <r>
    <n v="498"/>
    <s v="Khouaja"/>
    <s v="Kenza"/>
    <d v="2014-08-09T00:00:00"/>
    <s v="F"/>
    <n v="55405976"/>
    <n v="50761061"/>
    <s v="alouikhouaja@gmail.com"/>
    <x v="0"/>
    <x v="0"/>
    <s v="2014-2015 A"/>
    <x v="6"/>
    <n v="0"/>
    <m/>
    <n v="0"/>
    <n v="0"/>
    <n v="0"/>
    <n v="0"/>
    <m/>
    <m/>
    <m/>
    <m/>
  </r>
  <r>
    <n v="499"/>
    <s v="Khlij"/>
    <s v="Younes"/>
    <d v="2014-11-06T00:00:00"/>
    <s v="M"/>
    <n v="53448272"/>
    <n v="52107607"/>
    <m/>
    <x v="0"/>
    <x v="56"/>
    <s v="Lutins 2015-2016 N"/>
    <x v="4"/>
    <n v="500"/>
    <m/>
    <n v="500"/>
    <n v="500"/>
    <n v="0"/>
    <n v="0"/>
    <m/>
    <m/>
    <m/>
    <m/>
  </r>
  <r>
    <n v="634"/>
    <s v="Attia"/>
    <s v="Louay"/>
    <d v="2010-05-25T00:00:00"/>
    <s v="M"/>
    <m/>
    <m/>
    <m/>
    <x v="2"/>
    <x v="0"/>
    <m/>
    <x v="5"/>
    <n v="350"/>
    <m/>
    <n v="350"/>
    <n v="100"/>
    <n v="250"/>
    <n v="0"/>
    <m/>
    <m/>
    <m/>
    <m/>
  </r>
  <r>
    <n v="501"/>
    <s v="Rziga"/>
    <s v="Baraa"/>
    <d v="2014-03-14T00:00:00"/>
    <s v="F"/>
    <n v="50533731"/>
    <n v="53701352"/>
    <s v="mokh1011@gmail.com"/>
    <x v="0"/>
    <x v="18"/>
    <s v="Poussins 2014 N"/>
    <x v="7"/>
    <n v="500"/>
    <m/>
    <n v="500"/>
    <n v="500"/>
    <n v="0"/>
    <n v="0"/>
    <m/>
    <m/>
    <m/>
    <m/>
  </r>
  <r>
    <n v="639"/>
    <s v="Chebil"/>
    <s v="Rania"/>
    <d v="2014-05-18T00:00:00"/>
    <s v="F"/>
    <n v="51777217"/>
    <n v="99611800"/>
    <s v="evolution.commerciale@gmail.com"/>
    <x v="2"/>
    <x v="0"/>
    <m/>
    <x v="5"/>
    <n v="500"/>
    <m/>
    <n v="500"/>
    <n v="250"/>
    <n v="250"/>
    <n v="0"/>
    <m/>
    <s v="Ne répond pas"/>
    <m/>
    <m/>
  </r>
  <r>
    <n v="503"/>
    <s v="Mathlouthi"/>
    <s v="Med Ayoub"/>
    <d v="2014-09-11T00:00:00"/>
    <s v="M"/>
    <n v="96195588"/>
    <m/>
    <s v="salaheddinemathlouthi@gmail.com"/>
    <x v="0"/>
    <x v="12"/>
    <m/>
    <x v="11"/>
    <n v="350"/>
    <m/>
    <n v="350"/>
    <n v="350"/>
    <n v="0"/>
    <n v="0"/>
    <m/>
    <m/>
    <m/>
    <m/>
  </r>
  <r>
    <n v="504"/>
    <s v="El Masri"/>
    <s v="Wissem"/>
    <d v="2014-12-18T00:00:00"/>
    <s v="M"/>
    <m/>
    <m/>
    <s v="salma.gallas2@gmail.com"/>
    <x v="0"/>
    <x v="30"/>
    <s v="Poussins 2014"/>
    <x v="3"/>
    <n v="500"/>
    <m/>
    <n v="500"/>
    <n v="500"/>
    <n v="0"/>
    <n v="0"/>
    <m/>
    <m/>
    <m/>
    <m/>
  </r>
  <r>
    <n v="505"/>
    <s v="Saffré"/>
    <s v="Martin"/>
    <d v="2014-05-28T00:00:00"/>
    <s v="M"/>
    <n v="52042132"/>
    <n v="54090961"/>
    <m/>
    <x v="0"/>
    <x v="47"/>
    <s v="Poussins 2014-2015"/>
    <x v="3"/>
    <n v="400"/>
    <m/>
    <n v="400"/>
    <n v="400"/>
    <n v="0"/>
    <n v="0"/>
    <m/>
    <m/>
    <m/>
    <m/>
  </r>
  <r>
    <n v="506"/>
    <s v="Koubaier"/>
    <s v="Aysam"/>
    <d v="2014-04-07T00:00:00"/>
    <s v="M"/>
    <n v="98292004"/>
    <n v="53655292"/>
    <m/>
    <x v="0"/>
    <x v="52"/>
    <s v="Poussins 2014 A"/>
    <x v="15"/>
    <n v="500"/>
    <m/>
    <n v="500"/>
    <n v="500"/>
    <n v="0"/>
    <n v="0"/>
    <m/>
    <m/>
    <m/>
    <m/>
  </r>
  <r>
    <n v="672"/>
    <s v="Ben Hmida"/>
    <s v="Ahmed"/>
    <d v="2014-11-11T00:00:00"/>
    <s v="M"/>
    <n v="97340020"/>
    <n v="58131573"/>
    <m/>
    <x v="1"/>
    <x v="62"/>
    <s v="( P1 B3 )"/>
    <x v="27"/>
    <m/>
    <m/>
    <n v="550"/>
    <n v="550"/>
    <n v="0"/>
    <e v="#N/A"/>
    <m/>
    <m/>
    <m/>
    <m/>
  </r>
  <r>
    <n v="40"/>
    <s v="Ltaief"/>
    <s v="Lina"/>
    <d v="2012-05-03T00:00:00"/>
    <s v="F"/>
    <m/>
    <m/>
    <m/>
    <x v="0"/>
    <x v="16"/>
    <s v="Benjamins 2013 A2"/>
    <x v="4"/>
    <n v="450"/>
    <m/>
    <n v="450"/>
    <n v="225"/>
    <n v="225"/>
    <n v="0"/>
    <m/>
    <m/>
    <m/>
    <m/>
  </r>
  <r>
    <n v="509"/>
    <s v="Hsini"/>
    <s v="Houmem"/>
    <d v="2014-10-09T00:00:00"/>
    <s v="M"/>
    <n v="98434556"/>
    <n v="22352422"/>
    <s v="olfa.khlifi@gmail.com"/>
    <x v="0"/>
    <x v="30"/>
    <s v="Lutins 2015 A"/>
    <x v="3"/>
    <n v="500"/>
    <m/>
    <n v="500"/>
    <n v="500"/>
    <n v="0"/>
    <n v="0"/>
    <m/>
    <m/>
    <m/>
    <m/>
  </r>
  <r>
    <n v="510"/>
    <s v="Handous"/>
    <s v="Aysan"/>
    <d v="2014-10-21T00:00:00"/>
    <s v="M"/>
    <n v="98103031"/>
    <n v="98102678"/>
    <s v="anis.handous@gmail.com"/>
    <x v="1"/>
    <x v="23"/>
    <s v="(P1 C1)"/>
    <x v="14"/>
    <n v="1500"/>
    <m/>
    <n v="1500"/>
    <n v="1500"/>
    <n v="0"/>
    <n v="0"/>
    <m/>
    <m/>
    <m/>
    <m/>
  </r>
  <r>
    <n v="511"/>
    <s v="Dali"/>
    <s v="Taha"/>
    <d v="2014-10-22T00:00:00"/>
    <s v="M"/>
    <n v="98475150"/>
    <n v="55475150"/>
    <m/>
    <x v="1"/>
    <x v="62"/>
    <s v="( P1 B3 )"/>
    <x v="27"/>
    <n v="1350"/>
    <m/>
    <n v="1350"/>
    <n v="1350"/>
    <n v="0"/>
    <n v="0"/>
    <m/>
    <m/>
    <m/>
    <m/>
  </r>
  <r>
    <n v="512"/>
    <s v="Jegham"/>
    <s v="Zineddine"/>
    <d v="2013-03-28T00:00:00"/>
    <s v="M"/>
    <n v="98270073"/>
    <n v="95597486"/>
    <m/>
    <x v="1"/>
    <x v="0"/>
    <m/>
    <x v="5"/>
    <m/>
    <m/>
    <n v="0"/>
    <n v="0"/>
    <n v="0"/>
    <s v="ok"/>
    <m/>
    <m/>
    <m/>
    <m/>
  </r>
  <r>
    <n v="513"/>
    <s v="Chahata"/>
    <s v="Aziz"/>
    <d v="2011-02-07T00:00:00"/>
    <s v="M"/>
    <n v="23228001"/>
    <n v="23228002"/>
    <m/>
    <x v="1"/>
    <x v="20"/>
    <s v="(B2 A2)"/>
    <x v="1"/>
    <n v="1700"/>
    <m/>
    <n v="1700"/>
    <n v="1700"/>
    <n v="0"/>
    <n v="0"/>
    <m/>
    <m/>
    <m/>
    <m/>
  </r>
  <r>
    <n v="514"/>
    <s v="Saidi"/>
    <s v="Malika"/>
    <d v="2012-06-18T00:00:00"/>
    <s v="F"/>
    <n v="50841841"/>
    <n v="50849849"/>
    <s v="saidi102001@yahoo.fr"/>
    <x v="1"/>
    <x v="11"/>
    <s v="(B2A1)"/>
    <x v="10"/>
    <n v="1700"/>
    <m/>
    <n v="1700"/>
    <n v="1700"/>
    <n v="0"/>
    <s v="Ne répond pas"/>
    <m/>
    <m/>
    <m/>
    <m/>
  </r>
  <r>
    <n v="515"/>
    <s v="Akkari"/>
    <s v="Sarra"/>
    <d v="2016-04-28T00:00:00"/>
    <s v="F"/>
    <n v="95217900"/>
    <n v="26061284"/>
    <s v="akkari_montasar@yahoo.fr"/>
    <x v="1"/>
    <x v="63"/>
    <s v="(L1 C1)"/>
    <x v="17"/>
    <n v="1000"/>
    <m/>
    <n v="1000"/>
    <n v="1000"/>
    <n v="0"/>
    <s v="ok"/>
    <m/>
    <m/>
    <m/>
    <m/>
  </r>
  <r>
    <n v="516"/>
    <s v="Baccouche"/>
    <s v="Mehdi"/>
    <d v="2012-08-07T00:00:00"/>
    <s v="M"/>
    <n v="98404321"/>
    <n v="98255566"/>
    <s v="ziedbac@gmail.com"/>
    <x v="1"/>
    <x v="64"/>
    <s v="( B1 A1 )"/>
    <x v="28"/>
    <n v="1700"/>
    <m/>
    <n v="1700"/>
    <n v="1700"/>
    <n v="0"/>
    <s v="ok"/>
    <m/>
    <m/>
    <m/>
    <m/>
  </r>
  <r>
    <n v="143"/>
    <s v="Snoussi"/>
    <s v="Aram"/>
    <d v="2017-02-07T00:00:00"/>
    <s v="M"/>
    <m/>
    <m/>
    <m/>
    <x v="0"/>
    <x v="0"/>
    <s v="Pré-Lutins 2017 A1"/>
    <x v="5"/>
    <n v="450"/>
    <m/>
    <n v="450"/>
    <n v="225"/>
    <n v="225"/>
    <s v="ok"/>
    <m/>
    <m/>
    <m/>
    <m/>
  </r>
  <r>
    <n v="518"/>
    <s v="Jedidi"/>
    <s v="Haroun"/>
    <d v="1899-12-30T00:00:00"/>
    <s v="M"/>
    <m/>
    <m/>
    <m/>
    <x v="1"/>
    <x v="58"/>
    <s v="( L2 C1 )"/>
    <x v="21"/>
    <n v="1200"/>
    <m/>
    <n v="1200"/>
    <n v="1200"/>
    <n v="0"/>
    <m/>
    <m/>
    <m/>
    <m/>
    <m/>
  </r>
  <r>
    <n v="206"/>
    <s v="Riahi"/>
    <s v="Salim"/>
    <d v="2018-08-28T00:00:00"/>
    <s v="M"/>
    <n v="58529473"/>
    <m/>
    <m/>
    <x v="0"/>
    <x v="24"/>
    <s v="Prélutins 2018"/>
    <x v="4"/>
    <n v="450"/>
    <m/>
    <n v="450"/>
    <n v="445"/>
    <n v="5"/>
    <s v="Ne répond pas"/>
    <m/>
    <s v="ok"/>
    <m/>
    <m/>
  </r>
  <r>
    <n v="520"/>
    <s v="Belaid"/>
    <s v="Iyed"/>
    <d v="1899-12-30T00:00:00"/>
    <s v="M"/>
    <n v="28248243"/>
    <n v="98823299"/>
    <m/>
    <x v="1"/>
    <x v="64"/>
    <s v="( B1 A1 )"/>
    <x v="28"/>
    <n v="1700"/>
    <n v="0.1"/>
    <n v="1530"/>
    <n v="1100"/>
    <n v="430"/>
    <m/>
    <m/>
    <s v="Ne répond pas"/>
    <m/>
    <m/>
  </r>
  <r>
    <n v="522"/>
    <s v="Doudech"/>
    <s v="Ahmed"/>
    <d v="2016-07-04T00:00:00"/>
    <s v="M"/>
    <n v="54402042"/>
    <n v="98402042"/>
    <s v="mahemessadi@gmail.com"/>
    <x v="1"/>
    <x v="60"/>
    <s v="( L1 C3 )"/>
    <x v="17"/>
    <n v="900"/>
    <m/>
    <n v="900"/>
    <n v="900"/>
    <n v="0"/>
    <s v="ok"/>
    <m/>
    <m/>
    <m/>
    <m/>
  </r>
  <r>
    <n v="224"/>
    <s v="Snoussi"/>
    <s v="Sinmar"/>
    <d v="2018-07-07T00:00:00"/>
    <s v="M"/>
    <m/>
    <m/>
    <m/>
    <x v="0"/>
    <x v="0"/>
    <s v="Pré-Lutins 2018"/>
    <x v="5"/>
    <n v="450"/>
    <m/>
    <n v="450"/>
    <n v="225"/>
    <n v="225"/>
    <n v="0"/>
    <m/>
    <m/>
    <m/>
    <m/>
  </r>
  <r>
    <n v="524"/>
    <s v="Zayen"/>
    <s v="Ahmed"/>
    <d v="2013-10-04T00:00:00"/>
    <s v="M"/>
    <n v="29509014"/>
    <n v="20347357"/>
    <m/>
    <x v="1"/>
    <x v="65"/>
    <s v="( P2 B1)"/>
    <x v="9"/>
    <n v="0"/>
    <m/>
    <n v="0"/>
    <n v="0"/>
    <n v="0"/>
    <s v="ok"/>
    <m/>
    <m/>
    <m/>
    <m/>
  </r>
  <r>
    <n v="525"/>
    <s v="Saidi"/>
    <s v="Mohamed Amine"/>
    <d v="2013-10-03T00:00:00"/>
    <s v="M"/>
    <n v="98537340"/>
    <n v="99574242"/>
    <s v="khaledsaidi2005@yahoo.fr"/>
    <x v="1"/>
    <x v="22"/>
    <s v="(P2 B2)"/>
    <x v="14"/>
    <n v="1500"/>
    <m/>
    <n v="1500"/>
    <n v="1500"/>
    <n v="0"/>
    <n v="0"/>
    <m/>
    <m/>
    <m/>
    <m/>
  </r>
  <r>
    <n v="451"/>
    <s v="Riahi"/>
    <s v="Yassine"/>
    <d v="2014-03-04T00:00:00"/>
    <s v="M"/>
    <n v="58529473"/>
    <n v="20264664"/>
    <s v="yasminekhemiri.r@gmail.com"/>
    <x v="0"/>
    <x v="18"/>
    <s v="Poussins 2014 N"/>
    <x v="7"/>
    <n v="450"/>
    <m/>
    <n v="450"/>
    <n v="225"/>
    <n v="225"/>
    <n v="0"/>
    <m/>
    <s v="ok"/>
    <m/>
    <m/>
  </r>
  <r>
    <n v="109"/>
    <s v="Moussa"/>
    <s v="Samar"/>
    <d v="2006-03-03T00:00:00"/>
    <s v="F"/>
    <n v="98592045"/>
    <m/>
    <m/>
    <x v="0"/>
    <x v="9"/>
    <s v="Club Junior DB"/>
    <x v="7"/>
    <n v="500"/>
    <m/>
    <n v="500"/>
    <n v="350"/>
    <n v="150"/>
    <s v="Ne répond pas"/>
    <m/>
    <s v="ok"/>
    <m/>
    <m/>
  </r>
  <r>
    <n v="528"/>
    <s v="Jaballah essid"/>
    <s v="Mohamed Khalil"/>
    <d v="2017-06-27T00:00:00"/>
    <s v="M"/>
    <n v="28556134"/>
    <n v="23927609"/>
    <m/>
    <x v="0"/>
    <x v="0"/>
    <s v="Pré-Lutins 2017 A"/>
    <x v="5"/>
    <n v="500"/>
    <m/>
    <n v="500"/>
    <n v="500"/>
    <n v="0"/>
    <n v="0"/>
    <m/>
    <m/>
    <m/>
    <m/>
  </r>
  <r>
    <n v="113"/>
    <s v="Gharbi"/>
    <s v="Amine"/>
    <d v="2005-08-17T00:00:00"/>
    <s v="M"/>
    <n v="98246246"/>
    <m/>
    <m/>
    <x v="0"/>
    <x v="31"/>
    <s v="Ramzi"/>
    <x v="4"/>
    <n v="400"/>
    <m/>
    <n v="400"/>
    <n v="400"/>
    <n v="0"/>
    <n v="0"/>
    <m/>
    <s v="Ne répond pas"/>
    <m/>
    <m/>
  </r>
  <r>
    <n v="530"/>
    <s v="Ben Attia Saafi"/>
    <s v="Khadija"/>
    <d v="2015-03-11T00:00:00"/>
    <s v="F"/>
    <n v="53988832"/>
    <n v="23233368"/>
    <m/>
    <x v="1"/>
    <x v="58"/>
    <s v="( L2 C1 )"/>
    <x v="21"/>
    <n v="1200"/>
    <m/>
    <n v="1200"/>
    <n v="1200"/>
    <n v="0"/>
    <n v="0"/>
    <m/>
    <m/>
    <m/>
    <m/>
  </r>
  <r>
    <n v="531"/>
    <s v="Zouari"/>
    <s v="Med Ali"/>
    <d v="2010-06-10T00:00:00"/>
    <s v="M"/>
    <n v="98308106"/>
    <n v="53878106"/>
    <m/>
    <x v="0"/>
    <x v="31"/>
    <s v="Club Junior"/>
    <x v="4"/>
    <n v="500"/>
    <m/>
    <n v="500"/>
    <n v="500"/>
    <n v="0"/>
    <n v="0"/>
    <m/>
    <m/>
    <m/>
    <m/>
  </r>
  <r>
    <n v="532"/>
    <s v="Ben Jannet"/>
    <s v="Ghalia"/>
    <d v="2014-11-08T00:00:00"/>
    <s v="F"/>
    <n v="55299899"/>
    <n v="55299499"/>
    <m/>
    <x v="1"/>
    <x v="66"/>
    <s v=" ( P1B1 )"/>
    <x v="10"/>
    <n v="1350"/>
    <m/>
    <n v="1350"/>
    <n v="1350"/>
    <n v="0"/>
    <n v="0"/>
    <m/>
    <m/>
    <m/>
    <m/>
  </r>
  <r>
    <n v="533"/>
    <s v="Hamrouni"/>
    <s v="Nadine"/>
    <m/>
    <s v="F"/>
    <n v="98238702"/>
    <m/>
    <m/>
    <x v="8"/>
    <x v="0"/>
    <m/>
    <x v="5"/>
    <m/>
    <m/>
    <n v="0"/>
    <n v="0"/>
    <n v="0"/>
    <n v="0"/>
    <m/>
    <m/>
    <m/>
    <m/>
  </r>
  <r>
    <n v="534"/>
    <s v="Hamrouni"/>
    <s v="Fares"/>
    <m/>
    <s v="M"/>
    <n v="98238702"/>
    <m/>
    <m/>
    <x v="8"/>
    <x v="0"/>
    <m/>
    <x v="5"/>
    <m/>
    <m/>
    <n v="0"/>
    <n v="0"/>
    <n v="0"/>
    <n v="0"/>
    <m/>
    <m/>
    <m/>
    <m/>
  </r>
  <r>
    <n v="535"/>
    <s v="Slim"/>
    <s v="Lina"/>
    <d v="2009-02-28T00:00:00"/>
    <s v="F"/>
    <n v="23134933"/>
    <n v="20752861"/>
    <m/>
    <x v="1"/>
    <x v="33"/>
    <s v="( MC2)"/>
    <x v="8"/>
    <m/>
    <m/>
    <n v="0"/>
    <n v="0"/>
    <n v="0"/>
    <n v="0"/>
    <m/>
    <m/>
    <m/>
    <m/>
  </r>
  <r>
    <n v="536"/>
    <s v="Ben Salah"/>
    <s v=" Amine"/>
    <d v="2014-03-11T00:00:00"/>
    <s v="M"/>
    <n v="98569899"/>
    <n v="94729009"/>
    <s v="bsaexpert@yahoo.fr"/>
    <x v="1"/>
    <x v="67"/>
    <s v="( P1 B2 )"/>
    <x v="28"/>
    <n v="1500"/>
    <m/>
    <n v="1500"/>
    <n v="1500"/>
    <n v="0"/>
    <n v="0"/>
    <m/>
    <m/>
    <m/>
    <m/>
  </r>
  <r>
    <n v="537"/>
    <s v="Chahata"/>
    <s v="Adem"/>
    <d v="2017-08-06T00:00:00"/>
    <s v="M"/>
    <n v="23228001"/>
    <n v="23228002"/>
    <m/>
    <x v="1"/>
    <x v="45"/>
    <s v="( P L 1 )"/>
    <x v="21"/>
    <n v="800"/>
    <m/>
    <n v="800"/>
    <n v="800"/>
    <n v="0"/>
    <s v="ok"/>
    <m/>
    <m/>
    <m/>
    <m/>
  </r>
  <r>
    <n v="538"/>
    <s v="Tej"/>
    <s v="Ghada"/>
    <d v="2016-02-25T00:00:00"/>
    <s v="F"/>
    <n v="99792708"/>
    <n v="96325491"/>
    <m/>
    <x v="1"/>
    <x v="34"/>
    <s v="( L1 C2 )"/>
    <x v="17"/>
    <n v="1000"/>
    <m/>
    <n v="1000"/>
    <n v="1000"/>
    <n v="0"/>
    <n v="0"/>
    <m/>
    <m/>
    <m/>
    <m/>
  </r>
  <r>
    <n v="539"/>
    <s v="Bazaa"/>
    <s v="Baya"/>
    <d v="2011-04-18T00:00:00"/>
    <s v="F"/>
    <m/>
    <m/>
    <m/>
    <x v="1"/>
    <x v="11"/>
    <s v="(B2A1)"/>
    <x v="10"/>
    <n v="1700"/>
    <m/>
    <n v="1700"/>
    <n v="1700"/>
    <n v="0"/>
    <n v="0"/>
    <m/>
    <m/>
    <m/>
    <m/>
  </r>
  <r>
    <n v="540"/>
    <s v="Stambouli"/>
    <s v="Yosr"/>
    <m/>
    <s v="F"/>
    <n v="50533804"/>
    <m/>
    <m/>
    <x v="1"/>
    <x v="17"/>
    <s v="(MA2)"/>
    <x v="13"/>
    <n v="1700"/>
    <m/>
    <n v="1700"/>
    <n v="1700"/>
    <n v="0"/>
    <n v="0"/>
    <m/>
    <m/>
    <m/>
    <m/>
  </r>
  <r>
    <n v="541"/>
    <s v="Labassi"/>
    <s v="Youssef"/>
    <d v="2010-04-14T00:00:00"/>
    <s v="M"/>
    <n v="28734276"/>
    <n v="21054120"/>
    <m/>
    <x v="1"/>
    <x v="1"/>
    <s v="(MA1)"/>
    <x v="1"/>
    <n v="1700"/>
    <m/>
    <n v="1700"/>
    <n v="1700"/>
    <n v="0"/>
    <s v="ok"/>
    <m/>
    <m/>
    <m/>
    <m/>
  </r>
  <r>
    <n v="213"/>
    <s v="Saad"/>
    <s v="Mohamed Ali"/>
    <d v="2017-01-14T00:00:00"/>
    <s v="M"/>
    <n v="29665868"/>
    <m/>
    <m/>
    <x v="0"/>
    <x v="42"/>
    <s v="Pré-Lutins 2017 A"/>
    <x v="19"/>
    <n v="500"/>
    <m/>
    <n v="500"/>
    <n v="500"/>
    <n v="0"/>
    <n v="0"/>
    <m/>
    <s v="Ne répond pas"/>
    <m/>
    <m/>
  </r>
  <r>
    <n v="543"/>
    <s v="Bouraoui"/>
    <s v="Nabil"/>
    <d v="2015-06-19T00:00:00"/>
    <s v="M"/>
    <n v="99769966"/>
    <m/>
    <s v="nbouraoui02@gmail.com"/>
    <x v="1"/>
    <x v="26"/>
    <s v="( L2 C2 )"/>
    <x v="15"/>
    <n v="1080"/>
    <m/>
    <n v="1080"/>
    <n v="1080"/>
    <n v="0"/>
    <s v="ok"/>
    <m/>
    <m/>
    <m/>
    <m/>
  </r>
  <r>
    <n v="544"/>
    <s v="Hsin"/>
    <s v="Ilyes"/>
    <d v="2009-10-29T00:00:00"/>
    <s v="M"/>
    <n v="93086986"/>
    <n v="98176955"/>
    <m/>
    <x v="7"/>
    <x v="0"/>
    <m/>
    <x v="5"/>
    <m/>
    <m/>
    <n v="0"/>
    <n v="0"/>
    <n v="0"/>
    <s v="ok"/>
    <m/>
    <m/>
    <m/>
    <m/>
  </r>
  <r>
    <n v="545"/>
    <s v="Ben Saad"/>
    <s v="Slim"/>
    <d v="2015-06-02T00:00:00"/>
    <s v="M"/>
    <n v="98250414"/>
    <n v="25770872"/>
    <s v="hadjmtir.ines@gmail.com"/>
    <x v="1"/>
    <x v="66"/>
    <s v=" ( P1B1 )"/>
    <x v="10"/>
    <n v="1500"/>
    <m/>
    <n v="1500"/>
    <n v="1500"/>
    <n v="0"/>
    <s v="ok"/>
    <m/>
    <m/>
    <m/>
    <m/>
  </r>
  <r>
    <n v="300"/>
    <s v="Nouicer"/>
    <s v="Kmar"/>
    <d v="2016-06-02T00:00:00"/>
    <s v="F"/>
    <n v="92872825"/>
    <m/>
    <m/>
    <x v="0"/>
    <x v="40"/>
    <s v="Lutins 2015-2016N"/>
    <x v="7"/>
    <n v="500"/>
    <m/>
    <n v="500"/>
    <n v="300"/>
    <n v="200"/>
    <n v="0"/>
    <m/>
    <s v="ok"/>
    <m/>
    <m/>
  </r>
  <r>
    <n v="547"/>
    <s v="Arous"/>
    <s v="Amir"/>
    <d v="2014-06-23T00:00:00"/>
    <s v="M"/>
    <n v="55835172"/>
    <n v="55829816"/>
    <m/>
    <x v="1"/>
    <x v="62"/>
    <s v="( P1 B3 )"/>
    <x v="27"/>
    <n v="1250"/>
    <m/>
    <n v="1250"/>
    <n v="1250"/>
    <n v="0"/>
    <s v="ok"/>
    <m/>
    <m/>
    <m/>
    <m/>
  </r>
  <r>
    <n v="311"/>
    <s v="Torjmen"/>
    <s v="Aysam"/>
    <d v="2015-03-30T00:00:00"/>
    <s v="M"/>
    <n v="97594708"/>
    <m/>
    <m/>
    <x v="0"/>
    <x v="0"/>
    <s v="Lutins 2015 A"/>
    <x v="15"/>
    <n v="500"/>
    <m/>
    <n v="500"/>
    <n v="300"/>
    <n v="200"/>
    <n v="0"/>
    <m/>
    <s v="Ne répond pas"/>
    <m/>
    <m/>
  </r>
  <r>
    <n v="467"/>
    <s v="Mosbahi"/>
    <s v="Boudour"/>
    <d v="2014-10-30T00:00:00"/>
    <s v="F"/>
    <n v="27227711"/>
    <n v="27227722"/>
    <s v="hamdi.jamil.mesbahi@gmail.com"/>
    <x v="0"/>
    <x v="0"/>
    <s v="Benjamins N"/>
    <x v="7"/>
    <n v="400"/>
    <m/>
    <n v="400"/>
    <n v="400"/>
    <n v="0"/>
    <n v="0"/>
    <m/>
    <s v="ok"/>
    <m/>
    <m/>
  </r>
  <r>
    <n v="561"/>
    <s v="Ben Salah"/>
    <s v="Linda"/>
    <d v="2015-01-05T00:00:00"/>
    <s v="F"/>
    <n v="97263220"/>
    <n v="58345344"/>
    <m/>
    <x v="1"/>
    <x v="58"/>
    <s v="( L2 C1 )"/>
    <x v="21"/>
    <n v="1200"/>
    <m/>
    <n v="1200"/>
    <n v="1200"/>
    <n v="0"/>
    <n v="0"/>
    <m/>
    <m/>
    <m/>
    <m/>
  </r>
  <r>
    <n v="563"/>
    <s v="Jrad"/>
    <s v="Celine"/>
    <d v="2017-01-27T00:00:00"/>
    <s v="F"/>
    <n v="22211959"/>
    <n v="27008847"/>
    <s v="raed.jerad@gmail.com"/>
    <x v="1"/>
    <x v="45"/>
    <s v="( P L 1 )"/>
    <x v="21"/>
    <n v="800"/>
    <m/>
    <n v="800"/>
    <n v="600"/>
    <n v="200"/>
    <n v="0"/>
    <m/>
    <s v="ok"/>
    <m/>
    <m/>
  </r>
  <r>
    <n v="619"/>
    <s v="Khalifa"/>
    <s v="Racil"/>
    <d v="2017-02-15T00:00:00"/>
    <s v="F"/>
    <n v="98295970"/>
    <n v="22918329"/>
    <s v="chokrikhelifa@gmail.com"/>
    <x v="1"/>
    <x v="45"/>
    <s v="( P L 1 )"/>
    <x v="21"/>
    <n v="800"/>
    <m/>
    <n v="800"/>
    <n v="700"/>
    <n v="100"/>
    <n v="0"/>
    <m/>
    <s v="ok"/>
    <m/>
    <m/>
  </r>
  <r>
    <n v="553"/>
    <s v="Mani"/>
    <s v="Ibrahim"/>
    <d v="2014-12-27T00:00:00"/>
    <s v="M"/>
    <n v="98335235"/>
    <n v="98335220"/>
    <m/>
    <x v="1"/>
    <x v="67"/>
    <s v="( P1 B2 )"/>
    <x v="28"/>
    <n v="1000"/>
    <m/>
    <n v="1000"/>
    <n v="1000"/>
    <n v="0"/>
    <s v="ok"/>
    <m/>
    <m/>
    <m/>
    <m/>
  </r>
  <r>
    <n v="554"/>
    <s v="Jedidi"/>
    <s v="Khalil"/>
    <d v="2014-01-12T00:00:00"/>
    <s v="M"/>
    <n v="98430940"/>
    <n v="22280280"/>
    <s v="nadia.zoghlami@gmail.com"/>
    <x v="1"/>
    <x v="23"/>
    <s v="(P1 C1)"/>
    <x v="14"/>
    <n v="1350"/>
    <m/>
    <n v="1350"/>
    <n v="1350"/>
    <n v="0"/>
    <n v="0"/>
    <m/>
    <m/>
    <m/>
    <m/>
  </r>
  <r>
    <n v="381"/>
    <s v="Said"/>
    <s v="Rined"/>
    <d v="2001-06-08T00:00:00"/>
    <s v="F"/>
    <n v="50992248"/>
    <m/>
    <m/>
    <x v="4"/>
    <x v="4"/>
    <m/>
    <x v="6"/>
    <n v="500"/>
    <m/>
    <n v="500"/>
    <n v="320"/>
    <n v="180"/>
    <n v="0"/>
    <m/>
    <s v="Ne répond pas"/>
    <m/>
    <m/>
  </r>
  <r>
    <n v="393"/>
    <s v="Jelassi"/>
    <s v="Ghofrane"/>
    <d v="2009-09-17T00:00:00"/>
    <s v="F"/>
    <n v="56809975"/>
    <m/>
    <m/>
    <x v="0"/>
    <x v="15"/>
    <s v="Club Junior"/>
    <x v="12"/>
    <n v="500"/>
    <m/>
    <n v="500"/>
    <n v="500"/>
    <n v="0"/>
    <s v="ok"/>
    <m/>
    <s v="ok"/>
    <m/>
    <m/>
  </r>
  <r>
    <n v="557"/>
    <s v="Aouina"/>
    <s v="Hussein"/>
    <d v="2017-01-17T00:00:00"/>
    <s v="M"/>
    <n v="56832877"/>
    <n v="20970969"/>
    <s v="gam.amira@hotmail.fr"/>
    <x v="1"/>
    <x v="63"/>
    <s v="(L1 C1)"/>
    <x v="17"/>
    <n v="1000"/>
    <m/>
    <n v="1000"/>
    <n v="1000"/>
    <n v="0"/>
    <n v="0"/>
    <m/>
    <m/>
    <m/>
    <m/>
  </r>
  <r>
    <n v="558"/>
    <s v="Mattout"/>
    <s v="Zakaria"/>
    <d v="2017-08-29T00:00:00"/>
    <s v="M"/>
    <n v="98520383"/>
    <n v="24948734"/>
    <s v="medmalekmattout@gmail.com"/>
    <x v="1"/>
    <x v="44"/>
    <s v="( P L 2 )"/>
    <x v="21"/>
    <n v="800"/>
    <m/>
    <n v="800"/>
    <n v="800"/>
    <n v="0"/>
    <s v="Ne répond pas"/>
    <m/>
    <m/>
    <m/>
    <m/>
  </r>
  <r>
    <n v="559"/>
    <s v="Gaaya"/>
    <s v="Yara"/>
    <d v="2014-10-31T00:00:00"/>
    <s v="F"/>
    <n v="98624013"/>
    <n v="55621990"/>
    <s v="helahbaieb1989@gmail.com"/>
    <x v="1"/>
    <x v="67"/>
    <s v="( P1 B2 )"/>
    <x v="28"/>
    <n v="1500"/>
    <m/>
    <n v="1500"/>
    <n v="1500"/>
    <n v="0"/>
    <n v="0"/>
    <m/>
    <m/>
    <m/>
    <m/>
  </r>
  <r>
    <n v="560"/>
    <s v="Mlayah"/>
    <s v="Hedi"/>
    <d v="2015-03-26T00:00:00"/>
    <s v="M"/>
    <n v="98404753"/>
    <n v="98826187"/>
    <m/>
    <x v="1"/>
    <x v="58"/>
    <s v="( L2 C1 )"/>
    <x v="21"/>
    <n v="1030"/>
    <m/>
    <n v="1030"/>
    <n v="1030"/>
    <n v="0"/>
    <n v="0"/>
    <m/>
    <m/>
    <m/>
    <m/>
  </r>
  <r>
    <n v="555"/>
    <s v="Mlaheg"/>
    <s v="Yassine"/>
    <d v="2017-10-30T00:00:00"/>
    <s v="M"/>
    <n v="21403407"/>
    <n v="98334922"/>
    <m/>
    <x v="1"/>
    <x v="44"/>
    <s v="( P L 2 )"/>
    <x v="21"/>
    <n v="800"/>
    <m/>
    <n v="800"/>
    <n v="800"/>
    <n v="0"/>
    <n v="0"/>
    <m/>
    <s v="ok"/>
    <m/>
    <m/>
  </r>
  <r>
    <n v="562"/>
    <s v="Slim"/>
    <s v="Youssef"/>
    <d v="2012-07-10T00:00:00"/>
    <s v="M"/>
    <n v="23134933"/>
    <n v="20752861"/>
    <s v="yosrakoubaa@yahoo.fr"/>
    <x v="1"/>
    <x v="7"/>
    <s v="( MC1)"/>
    <x v="8"/>
    <n v="1600"/>
    <m/>
    <n v="1600"/>
    <n v="1600"/>
    <n v="0"/>
    <n v="0"/>
    <m/>
    <m/>
    <m/>
    <m/>
  </r>
  <r>
    <n v="632"/>
    <s v="Mlika"/>
    <s v="Mayssa"/>
    <d v="1988-05-21T00:00:00"/>
    <s v="F"/>
    <n v="55706906"/>
    <m/>
    <s v="mlika.mayssa88@gmail.com"/>
    <x v="4"/>
    <x v="0"/>
    <m/>
    <x v="5"/>
    <n v="450"/>
    <m/>
    <n v="450"/>
    <n v="300"/>
    <n v="150"/>
    <n v="0"/>
    <m/>
    <s v="Ne répond pas"/>
    <m/>
    <m/>
  </r>
  <r>
    <n v="564"/>
    <s v="Abdelmaksoud"/>
    <s v="Azza"/>
    <d v="2014-05-19T00:00:00"/>
    <s v="F"/>
    <n v="28425595"/>
    <n v="24060801"/>
    <m/>
    <x v="1"/>
    <x v="66"/>
    <s v=" ( P1B1 )"/>
    <x v="10"/>
    <n v="1500"/>
    <m/>
    <n v="1500"/>
    <n v="1500"/>
    <n v="0"/>
    <s v="ok"/>
    <m/>
    <m/>
    <m/>
    <m/>
  </r>
  <r>
    <n v="565"/>
    <s v="Abdelmaksoud"/>
    <s v="Aziz"/>
    <d v="2012-04-06T00:00:00"/>
    <s v="M"/>
    <n v="28425595"/>
    <n v="24060801"/>
    <m/>
    <x v="1"/>
    <x v="64"/>
    <s v="( B1 A1 )"/>
    <x v="28"/>
    <n v="1700"/>
    <m/>
    <n v="1700"/>
    <n v="1700"/>
    <n v="0"/>
    <s v="ok"/>
    <m/>
    <m/>
    <m/>
    <m/>
  </r>
  <r>
    <n v="566"/>
    <s v="Bouraoui"/>
    <s v="Mahmoud"/>
    <d v="2013-01-21T00:00:00"/>
    <s v="M"/>
    <n v="97433700"/>
    <n v="97104466"/>
    <s v="ziedbouraoui@gmail.com"/>
    <x v="1"/>
    <x v="65"/>
    <s v="( P2 B1)"/>
    <x v="9"/>
    <n v="1350"/>
    <m/>
    <n v="1350"/>
    <n v="1350"/>
    <n v="0"/>
    <n v="0"/>
    <m/>
    <m/>
    <m/>
    <m/>
  </r>
  <r>
    <n v="567"/>
    <s v="Gaieb"/>
    <s v="Rania"/>
    <d v="2011-12-26T00:00:00"/>
    <s v="F"/>
    <n v="27227063"/>
    <m/>
    <m/>
    <x v="1"/>
    <x v="11"/>
    <s v="(B2A1)"/>
    <x v="10"/>
    <n v="1700"/>
    <m/>
    <n v="1700"/>
    <n v="1700"/>
    <n v="0"/>
    <n v="0"/>
    <m/>
    <m/>
    <m/>
    <m/>
  </r>
  <r>
    <n v="568"/>
    <s v="Rakkez"/>
    <s v="Ibrahim"/>
    <d v="2012-10-03T00:00:00"/>
    <s v="M"/>
    <n v="98408908"/>
    <n v="98944399"/>
    <m/>
    <x v="1"/>
    <x v="20"/>
    <s v="(B2 A2)"/>
    <x v="1"/>
    <n v="1700"/>
    <m/>
    <n v="1700"/>
    <n v="1700"/>
    <n v="0"/>
    <n v="0"/>
    <m/>
    <m/>
    <m/>
    <m/>
  </r>
  <r>
    <n v="662"/>
    <s v="El Ezzi"/>
    <s v="Dorra"/>
    <d v="2018-11-07T00:00:00"/>
    <s v="F"/>
    <n v="56192888"/>
    <n v="51929218"/>
    <m/>
    <x v="7"/>
    <x v="0"/>
    <m/>
    <x v="5"/>
    <n v="150"/>
    <m/>
    <n v="150"/>
    <n v="150"/>
    <n v="0"/>
    <n v="0"/>
    <m/>
    <s v="ok"/>
    <m/>
    <m/>
  </r>
  <r>
    <n v="670"/>
    <s v="Kachroudi"/>
    <s v="Nour"/>
    <d v="2018-06-30T00:00:00"/>
    <s v="F"/>
    <n v="54745806"/>
    <n v="56800828"/>
    <m/>
    <x v="0"/>
    <x v="31"/>
    <m/>
    <x v="4"/>
    <n v="200"/>
    <m/>
    <n v="200"/>
    <n v="200"/>
    <n v="0"/>
    <e v="#N/A"/>
    <m/>
    <m/>
    <m/>
    <m/>
  </r>
  <r>
    <n v="571"/>
    <s v="Grissa"/>
    <s v="Med Mehdi"/>
    <d v="2013-01-09T00:00:00"/>
    <s v="M"/>
    <n v="58404032"/>
    <n v="50071805"/>
    <s v="anisgrissa@yahoo.fr"/>
    <x v="1"/>
    <x v="65"/>
    <s v="( P2 B1)"/>
    <x v="9"/>
    <n v="1500"/>
    <m/>
    <n v="1500"/>
    <n v="1500"/>
    <n v="0"/>
    <n v="0"/>
    <m/>
    <m/>
    <m/>
    <m/>
  </r>
  <r>
    <n v="572"/>
    <s v="Ayech"/>
    <s v="Salim"/>
    <d v="2007-12-25T00:00:00"/>
    <s v="M"/>
    <n v="97219122"/>
    <n v="99475905"/>
    <m/>
    <x v="1"/>
    <x v="28"/>
    <s v=" ( C C 1)"/>
    <x v="8"/>
    <n v="900"/>
    <m/>
    <n v="900"/>
    <n v="900"/>
    <n v="0"/>
    <n v="0"/>
    <m/>
    <m/>
    <m/>
    <m/>
  </r>
  <r>
    <n v="573"/>
    <s v="Tounsi"/>
    <s v="Haroun"/>
    <d v="2016-06-14T00:00:00"/>
    <s v="M"/>
    <n v="98581410"/>
    <n v="98581410"/>
    <s v="slimt@gmail.com"/>
    <x v="1"/>
    <x v="63"/>
    <s v="(L1 C1)"/>
    <x v="17"/>
    <n v="900"/>
    <m/>
    <n v="900"/>
    <n v="900"/>
    <n v="0"/>
    <s v="ok"/>
    <m/>
    <m/>
    <m/>
    <m/>
  </r>
  <r>
    <n v="574"/>
    <s v="Hachfi"/>
    <s v="Acyl"/>
    <d v="2016-07-24T00:00:00"/>
    <s v="M"/>
    <n v="98257179"/>
    <n v="20584578"/>
    <m/>
    <x v="1"/>
    <x v="63"/>
    <s v="(L1 C1)"/>
    <x v="17"/>
    <n v="900"/>
    <m/>
    <n v="900"/>
    <n v="900"/>
    <n v="0"/>
    <n v="0"/>
    <m/>
    <m/>
    <m/>
    <m/>
  </r>
  <r>
    <n v="575"/>
    <s v="Mghirbi"/>
    <s v="Hedi"/>
    <d v="2013-07-27T00:00:00"/>
    <s v="M"/>
    <n v="50787885"/>
    <n v="52664072"/>
    <s v="asmachemlica1982@yahoo.com"/>
    <x v="1"/>
    <x v="20"/>
    <s v="(B2 A2)"/>
    <x v="1"/>
    <n v="1700"/>
    <m/>
    <n v="1700"/>
    <n v="1700"/>
    <n v="0"/>
    <n v="0"/>
    <m/>
    <m/>
    <m/>
    <m/>
  </r>
  <r>
    <n v="576"/>
    <s v="Jegham"/>
    <s v="Eya"/>
    <m/>
    <s v="F"/>
    <m/>
    <m/>
    <m/>
    <x v="1"/>
    <x v="33"/>
    <s v="( MC2)"/>
    <x v="8"/>
    <n v="1000"/>
    <m/>
    <n v="1000"/>
    <n v="1000"/>
    <n v="0"/>
    <n v="0"/>
    <m/>
    <m/>
    <m/>
    <m/>
  </r>
  <r>
    <n v="577"/>
    <s v="Farouh"/>
    <s v="Yassine"/>
    <d v="2015-03-18T00:00:00"/>
    <s v="M"/>
    <n v="55810430"/>
    <n v="55760922"/>
    <m/>
    <x v="2"/>
    <x v="0"/>
    <m/>
    <x v="5"/>
    <n v="450"/>
    <m/>
    <n v="450"/>
    <n v="450"/>
    <n v="0"/>
    <n v="0"/>
    <m/>
    <m/>
    <m/>
    <m/>
  </r>
  <r>
    <n v="1"/>
    <s v="Gahbiche"/>
    <s v="Mohtadi"/>
    <d v="2011-11-09T00:00:00"/>
    <s v="M"/>
    <n v="99600668"/>
    <n v="94099313"/>
    <m/>
    <x v="0"/>
    <x v="0"/>
    <s v="Club Junior DA"/>
    <x v="4"/>
    <n v="500"/>
    <n v="0.1"/>
    <n v="450"/>
    <n v="350"/>
    <n v="100"/>
    <s v="ok"/>
    <m/>
    <s v="ok"/>
    <m/>
    <m/>
  </r>
  <r>
    <n v="579"/>
    <s v="Mlika"/>
    <s v="Nedra"/>
    <d v="2013-11-09T00:00:00"/>
    <s v="F"/>
    <n v="97453737"/>
    <n v="55606806"/>
    <s v="mlikamine@gmail.com"/>
    <x v="1"/>
    <x v="22"/>
    <s v="(P2 B2)"/>
    <x v="14"/>
    <n v="1500"/>
    <m/>
    <n v="1500"/>
    <n v="1500"/>
    <n v="0"/>
    <n v="0"/>
    <m/>
    <m/>
    <m/>
    <m/>
  </r>
  <r>
    <n v="580"/>
    <s v="Garnaoui"/>
    <s v="Baya"/>
    <d v="2014-10-29T00:00:00"/>
    <s v="F"/>
    <n v="55280285"/>
    <n v="55154540"/>
    <m/>
    <x v="1"/>
    <x v="62"/>
    <s v="( P1 B3 )"/>
    <x v="27"/>
    <n v="1400"/>
    <m/>
    <n v="1400"/>
    <n v="1400"/>
    <n v="0"/>
    <n v="0"/>
    <m/>
    <m/>
    <m/>
    <m/>
  </r>
  <r>
    <n v="581"/>
    <s v="Zarii"/>
    <s v="Rayen"/>
    <d v="2013-11-10T00:00:00"/>
    <s v="M"/>
    <n v="98267199"/>
    <n v="96533285"/>
    <m/>
    <x v="1"/>
    <x v="65"/>
    <s v="( P2 B1)"/>
    <x v="9"/>
    <n v="1500"/>
    <m/>
    <n v="1500"/>
    <n v="1500"/>
    <n v="0"/>
    <s v="ok"/>
    <m/>
    <m/>
    <m/>
    <m/>
  </r>
  <r>
    <n v="582"/>
    <s v="Laajimi"/>
    <s v="Linda"/>
    <d v="2006-06-12T00:00:00"/>
    <s v="F"/>
    <n v="98473665"/>
    <n v="27147105"/>
    <m/>
    <x v="1"/>
    <x v="10"/>
    <s v=" ( EA 2 )"/>
    <x v="9"/>
    <n v="1700"/>
    <m/>
    <n v="1700"/>
    <n v="1700"/>
    <n v="0"/>
    <s v="ok"/>
    <m/>
    <m/>
    <m/>
    <m/>
  </r>
  <r>
    <n v="12"/>
    <s v="Ben Hadj"/>
    <s v="Haroun"/>
    <d v="2011-03-24T00:00:00"/>
    <s v="M"/>
    <n v="95727696"/>
    <m/>
    <m/>
    <x v="0"/>
    <x v="12"/>
    <s v="Benjamins"/>
    <x v="11"/>
    <n v="500"/>
    <m/>
    <n v="500"/>
    <n v="400"/>
    <n v="100"/>
    <n v="0"/>
    <m/>
    <s v="Ne répond pas"/>
    <m/>
    <m/>
  </r>
  <r>
    <n v="584"/>
    <s v="Ben Salah"/>
    <s v="Karim"/>
    <d v="2015-07-05T00:00:00"/>
    <s v="M"/>
    <n v="25220156"/>
    <n v="22619840"/>
    <s v="wbensalah@yahoo.com"/>
    <x v="1"/>
    <x v="58"/>
    <s v="( L2 C1 )"/>
    <x v="21"/>
    <n v="1080"/>
    <m/>
    <n v="1080"/>
    <n v="1080"/>
    <n v="0"/>
    <n v="0"/>
    <m/>
    <m/>
    <m/>
    <m/>
  </r>
  <r>
    <n v="585"/>
    <s v="Slama"/>
    <s v="Rayhane"/>
    <d v="2014-06-28T00:00:00"/>
    <s v="F"/>
    <n v="29913541"/>
    <n v="46460046"/>
    <s v="saidnermine@yahoo.com"/>
    <x v="1"/>
    <x v="23"/>
    <s v="(P1 C1)"/>
    <x v="14"/>
    <n v="1200"/>
    <m/>
    <n v="1200"/>
    <n v="1200"/>
    <n v="0"/>
    <n v="0"/>
    <m/>
    <m/>
    <m/>
    <m/>
  </r>
  <r>
    <n v="37"/>
    <s v="Achour"/>
    <s v="Ahmed"/>
    <d v="2012-10-13T00:00:00"/>
    <s v="M"/>
    <n v="97457840"/>
    <m/>
    <m/>
    <x v="0"/>
    <x v="16"/>
    <s v="Benjamins 2013 A2"/>
    <x v="4"/>
    <n v="400"/>
    <m/>
    <n v="400"/>
    <n v="400"/>
    <n v="0"/>
    <s v="A quité"/>
    <m/>
    <s v="A quité"/>
    <m/>
    <m/>
  </r>
  <r>
    <n v="176"/>
    <s v="Mrabtini"/>
    <s v="Ahmed"/>
    <d v="2017-10-31T00:00:00"/>
    <s v="M"/>
    <n v="20833214"/>
    <m/>
    <m/>
    <x v="0"/>
    <x v="42"/>
    <s v="Prélutins 2017"/>
    <x v="19"/>
    <n v="150"/>
    <m/>
    <n v="150"/>
    <n v="150"/>
    <n v="0"/>
    <s v="ok"/>
    <m/>
    <m/>
    <m/>
    <m/>
  </r>
  <r>
    <n v="588"/>
    <s v="Abdallah"/>
    <s v="Malek"/>
    <d v="2014-08-04T00:00:00"/>
    <s v="M"/>
    <n v="98685473"/>
    <n v="92663333"/>
    <s v="kaissoun1@yahoo.fr"/>
    <x v="1"/>
    <x v="23"/>
    <s v="(P1 C1)"/>
    <x v="14"/>
    <n v="1200"/>
    <n v="0.2"/>
    <n v="960"/>
    <n v="1000"/>
    <n v="-40"/>
    <n v="0"/>
    <m/>
    <m/>
    <m/>
    <m/>
  </r>
  <r>
    <n v="589"/>
    <s v="Mani"/>
    <s v="Idriss"/>
    <d v="2016-04-16T00:00:00"/>
    <s v="M"/>
    <n v="98335235"/>
    <n v="98335220"/>
    <s v="accesinfo73@gmail.com"/>
    <x v="1"/>
    <x v="60"/>
    <s v="( L1 C2 )"/>
    <x v="17"/>
    <n v="1000"/>
    <m/>
    <n v="1000"/>
    <n v="1000"/>
    <n v="0"/>
    <s v="ok"/>
    <m/>
    <m/>
    <m/>
    <m/>
  </r>
  <r>
    <n v="590"/>
    <s v="Golli"/>
    <s v="Yassine"/>
    <d v="2014-03-14T00:00:00"/>
    <s v="M"/>
    <m/>
    <m/>
    <m/>
    <x v="1"/>
    <x v="67"/>
    <s v="( P1 B2 )"/>
    <x v="28"/>
    <n v="1500"/>
    <m/>
    <n v="1500"/>
    <n v="1500"/>
    <n v="0"/>
    <n v="0"/>
    <m/>
    <m/>
    <m/>
    <m/>
  </r>
  <r>
    <n v="219"/>
    <s v="Msallem"/>
    <s v="Idriss"/>
    <d v="2017-11-01T00:00:00"/>
    <s v="M"/>
    <n v="53547838"/>
    <m/>
    <m/>
    <x v="0"/>
    <x v="0"/>
    <s v="Lutins 2016-2017"/>
    <x v="4"/>
    <n v="200"/>
    <m/>
    <n v="200"/>
    <n v="100"/>
    <n v="100"/>
    <n v="0"/>
    <m/>
    <s v="A quité"/>
    <m/>
    <m/>
  </r>
  <r>
    <n v="278"/>
    <s v="Sahli"/>
    <s v="Iyes"/>
    <d v="2015-02-03T00:00:00"/>
    <s v="M"/>
    <n v="99010934"/>
    <m/>
    <m/>
    <x v="0"/>
    <x v="61"/>
    <s v="Lutins 2014-2015 A"/>
    <x v="15"/>
    <n v="500"/>
    <m/>
    <n v="500"/>
    <n v="400"/>
    <n v="100"/>
    <n v="0"/>
    <m/>
    <s v="Ne répond pas"/>
    <m/>
    <m/>
  </r>
  <r>
    <n v="593"/>
    <s v="Ghenim"/>
    <s v="Med Khalil"/>
    <d v="1998-06-06T00:00:00"/>
    <s v="M"/>
    <n v="54759230"/>
    <m/>
    <m/>
    <x v="8"/>
    <x v="0"/>
    <m/>
    <x v="5"/>
    <m/>
    <m/>
    <n v="0"/>
    <n v="0"/>
    <n v="0"/>
    <n v="0"/>
    <m/>
    <m/>
    <m/>
    <m/>
  </r>
  <r>
    <n v="594"/>
    <s v="Chahed"/>
    <s v="Youssef"/>
    <d v="2015-03-10T00:00:00"/>
    <s v="M"/>
    <n v="53937000"/>
    <m/>
    <m/>
    <x v="1"/>
    <x v="26"/>
    <s v="( L2 C2 )"/>
    <x v="15"/>
    <n v="1200"/>
    <m/>
    <n v="1200"/>
    <n v="1200"/>
    <n v="0"/>
    <n v="0"/>
    <m/>
    <m/>
    <m/>
    <m/>
  </r>
  <r>
    <n v="595"/>
    <s v="Lahmar"/>
    <s v="Youssef"/>
    <d v="2012-03-16T00:00:00"/>
    <s v="M"/>
    <n v="25829360"/>
    <n v="22629360"/>
    <s v="lahmar.brahim@hotmail.fr"/>
    <x v="1"/>
    <x v="11"/>
    <s v="(B2A1)"/>
    <x v="10"/>
    <n v="1530"/>
    <m/>
    <n v="1530"/>
    <n v="1530"/>
    <n v="0"/>
    <n v="0"/>
    <m/>
    <m/>
    <m/>
    <m/>
  </r>
  <r>
    <n v="596"/>
    <s v="Mrad"/>
    <s v="Abedrahmen"/>
    <d v="2008-08-20T00:00:00"/>
    <s v="M"/>
    <n v="97227397"/>
    <n v="97452863"/>
    <s v="mradseif@yahoo.fr"/>
    <x v="1"/>
    <x v="28"/>
    <s v=" ( C C 1)"/>
    <x v="8"/>
    <n v="1000"/>
    <m/>
    <n v="1000"/>
    <n v="1000"/>
    <n v="0"/>
    <n v="0"/>
    <m/>
    <m/>
    <m/>
    <m/>
  </r>
  <r>
    <n v="597"/>
    <s v="Ben Salah"/>
    <s v="Youssef"/>
    <d v="2005-12-28T00:00:00"/>
    <s v="M"/>
    <n v="98454936"/>
    <n v="97554341"/>
    <m/>
    <x v="1"/>
    <x v="17"/>
    <s v="(MA2)"/>
    <x v="13"/>
    <n v="1700"/>
    <m/>
    <n v="1700"/>
    <n v="1700"/>
    <n v="0"/>
    <n v="0"/>
    <m/>
    <m/>
    <m/>
    <m/>
  </r>
  <r>
    <n v="598"/>
    <s v="Klai"/>
    <s v="Mohamed"/>
    <d v="2015-03-16T00:00:00"/>
    <s v="M"/>
    <n v="98566602"/>
    <n v="29505014"/>
    <s v="sahbiklai671@gmail.com"/>
    <x v="1"/>
    <x v="66"/>
    <s v=" ( P1B1 )"/>
    <x v="10"/>
    <n v="1500"/>
    <m/>
    <n v="1500"/>
    <n v="1500"/>
    <n v="0"/>
    <n v="0"/>
    <m/>
    <m/>
    <m/>
    <m/>
  </r>
  <r>
    <n v="599"/>
    <s v="Derbel"/>
    <s v="Omar"/>
    <d v="2010-06-10T00:00:00"/>
    <s v="M"/>
    <m/>
    <m/>
    <m/>
    <x v="1"/>
    <x v="7"/>
    <s v="( MC1)"/>
    <x v="8"/>
    <n v="1700"/>
    <m/>
    <n v="1700"/>
    <n v="1700"/>
    <n v="0"/>
    <n v="0"/>
    <m/>
    <m/>
    <m/>
    <m/>
  </r>
  <r>
    <n v="600"/>
    <s v="Ghorbel"/>
    <s v="Aicha"/>
    <d v="2016-03-23T00:00:00"/>
    <s v="F"/>
    <n v="98793393"/>
    <n v="23341005"/>
    <s v="k.ghorbel@hpc-group.com.tn"/>
    <x v="1"/>
    <x v="34"/>
    <s v="( L1 C3 )"/>
    <x v="17"/>
    <n v="1000"/>
    <m/>
    <n v="1000"/>
    <n v="1000"/>
    <n v="0"/>
    <n v="0"/>
    <m/>
    <m/>
    <m/>
    <m/>
  </r>
  <r>
    <n v="601"/>
    <s v="Bahri"/>
    <s v="Salima"/>
    <d v="2011-01-04T00:00:00"/>
    <s v="F"/>
    <n v="23751447"/>
    <n v="23339092"/>
    <m/>
    <x v="1"/>
    <x v="20"/>
    <s v="(B2 A2)"/>
    <x v="1"/>
    <n v="1700"/>
    <n v="0.1"/>
    <n v="1530"/>
    <n v="1530"/>
    <n v="0"/>
    <n v="0"/>
    <m/>
    <m/>
    <m/>
    <m/>
  </r>
  <r>
    <n v="602"/>
    <s v="Ben Salah"/>
    <s v="Anis"/>
    <d v="2013-06-09T00:00:00"/>
    <s v="M"/>
    <n v="25220156"/>
    <n v="22619840"/>
    <s v="wbensalah@yahoo.com"/>
    <x v="1"/>
    <x v="65"/>
    <s v="( P2 B1)"/>
    <x v="9"/>
    <n v="1350"/>
    <m/>
    <n v="1350"/>
    <n v="1350"/>
    <n v="0"/>
    <n v="0"/>
    <m/>
    <m/>
    <m/>
    <m/>
  </r>
  <r>
    <n v="603"/>
    <s v="Bahri"/>
    <s v="Amina"/>
    <d v="2012-08-16T00:00:00"/>
    <s v="F"/>
    <n v="23751447"/>
    <n v="23339092"/>
    <m/>
    <x v="1"/>
    <x v="64"/>
    <s v="( B1 A1 )"/>
    <x v="28"/>
    <n v="1700"/>
    <n v="0.1"/>
    <n v="1530"/>
    <n v="1530"/>
    <n v="0"/>
    <n v="0"/>
    <m/>
    <m/>
    <m/>
    <m/>
  </r>
  <r>
    <n v="604"/>
    <s v="Fekih"/>
    <s v="Celine"/>
    <d v="2016-11-18T00:00:00"/>
    <s v="F"/>
    <n v="24737861"/>
    <n v="55298807"/>
    <m/>
    <x v="1"/>
    <x v="60"/>
    <s v="( L1 C3 )"/>
    <x v="17"/>
    <n v="900"/>
    <m/>
    <n v="900"/>
    <n v="900"/>
    <n v="0"/>
    <n v="0"/>
    <m/>
    <m/>
    <m/>
    <m/>
  </r>
  <r>
    <n v="605"/>
    <s v="Ghachem"/>
    <s v="Sarra"/>
    <m/>
    <s v="F"/>
    <m/>
    <m/>
    <m/>
    <x v="1"/>
    <x v="66"/>
    <s v=" ( P1B1 )"/>
    <x v="10"/>
    <n v="1500"/>
    <m/>
    <n v="1500"/>
    <n v="1500"/>
    <n v="0"/>
    <n v="0"/>
    <m/>
    <m/>
    <m/>
    <m/>
  </r>
  <r>
    <n v="606"/>
    <s v="Ben Aicha"/>
    <s v="Linda"/>
    <d v="2016-09-19T00:00:00"/>
    <s v="F"/>
    <n v="98840840"/>
    <n v="93433319"/>
    <s v="meriem.nabi@uib.com.tn"/>
    <x v="1"/>
    <x v="60"/>
    <s v="( L1 C2 )"/>
    <x v="17"/>
    <n v="1000"/>
    <m/>
    <n v="1000"/>
    <n v="1000"/>
    <n v="0"/>
    <n v="0"/>
    <m/>
    <m/>
    <m/>
    <m/>
  </r>
  <r>
    <n v="607"/>
    <s v="Najjar"/>
    <s v="Omar"/>
    <d v="2014-03-25T00:00:00"/>
    <s v="M"/>
    <n v="22889539"/>
    <n v="54170018"/>
    <s v="houd.chaouachi@gmail.com"/>
    <x v="0"/>
    <x v="59"/>
    <m/>
    <x v="3"/>
    <n v="500"/>
    <m/>
    <n v="500"/>
    <n v="500"/>
    <n v="0"/>
    <n v="0"/>
    <m/>
    <m/>
    <m/>
    <m/>
  </r>
  <r>
    <n v="608"/>
    <s v="Najjar"/>
    <s v="Mahmoud"/>
    <d v="2010-07-16T00:00:00"/>
    <s v="M"/>
    <n v="22889539"/>
    <n v="54170018"/>
    <s v="houd.chaouachi@gmail.com"/>
    <x v="0"/>
    <x v="27"/>
    <s v="Club Junior DD"/>
    <x v="3"/>
    <n v="500"/>
    <m/>
    <n v="500"/>
    <n v="500"/>
    <n v="0"/>
    <n v="0"/>
    <m/>
    <m/>
    <m/>
    <m/>
  </r>
  <r>
    <n v="609"/>
    <s v="Belhadj Bechir"/>
    <s v="Salma"/>
    <d v="2016-06-09T00:00:00"/>
    <s v="F"/>
    <n v="25788115"/>
    <n v="25788210"/>
    <s v="hadjbechir2014@hotmail.com"/>
    <x v="1"/>
    <x v="63"/>
    <s v="(L1 C1)"/>
    <x v="17"/>
    <n v="1000"/>
    <m/>
    <n v="1000"/>
    <n v="1000"/>
    <n v="0"/>
    <n v="0"/>
    <m/>
    <m/>
    <m/>
    <m/>
  </r>
  <r>
    <n v="610"/>
    <s v="Baccouche"/>
    <s v="Fares"/>
    <d v="2017-01-06T00:00:00"/>
    <s v="M"/>
    <n v="55779536"/>
    <n v="52160066"/>
    <s v="meriemgribaa312@gmail.com"/>
    <x v="0"/>
    <x v="0"/>
    <s v="Pré-Lutins 2017 A2"/>
    <x v="5"/>
    <n v="250"/>
    <m/>
    <n v="250"/>
    <n v="250"/>
    <n v="0"/>
    <n v="0"/>
    <m/>
    <m/>
    <m/>
    <m/>
  </r>
  <r>
    <n v="611"/>
    <s v="Daas"/>
    <s v="Tayem"/>
    <d v="2015-08-24T00:00:00"/>
    <s v="M"/>
    <n v="20299753"/>
    <n v="50421042"/>
    <s v="raidnada@yahoo.fr"/>
    <x v="1"/>
    <x v="26"/>
    <s v="( L2 C2 )"/>
    <x v="15"/>
    <n v="1200"/>
    <m/>
    <n v="1200"/>
    <n v="1200"/>
    <n v="0"/>
    <n v="0"/>
    <m/>
    <m/>
    <m/>
    <m/>
  </r>
  <r>
    <n v="612"/>
    <s v="Arous"/>
    <s v="Tayem"/>
    <d v="2017-04-07T00:00:00"/>
    <s v="M"/>
    <n v="26043520"/>
    <n v="97633111"/>
    <s v="arousmarouane@gmail.com"/>
    <x v="1"/>
    <x v="45"/>
    <s v="( P L 1 )"/>
    <x v="21"/>
    <n v="800"/>
    <m/>
    <n v="800"/>
    <n v="800"/>
    <n v="0"/>
    <n v="0"/>
    <m/>
    <m/>
    <m/>
    <m/>
  </r>
  <r>
    <n v="613"/>
    <s v="Rakkez"/>
    <s v="Eya"/>
    <d v="2008-10-25T00:00:00"/>
    <s v="F"/>
    <n v="98408908"/>
    <n v="98944399"/>
    <m/>
    <x v="1"/>
    <x v="10"/>
    <s v=" ( EA 2 )"/>
    <x v="9"/>
    <n v="1700"/>
    <m/>
    <n v="1700"/>
    <n v="1700"/>
    <n v="0"/>
    <n v="0"/>
    <m/>
    <m/>
    <m/>
    <m/>
  </r>
  <r>
    <n v="614"/>
    <s v="Zbidi"/>
    <s v="Med Hedi"/>
    <d v="2016-10-31T00:00:00"/>
    <s v="M"/>
    <n v="52401198"/>
    <n v="98268624"/>
    <s v="mohamedaymen.zbidi@bna.tn"/>
    <x v="1"/>
    <x v="63"/>
    <s v="(L1 C1)"/>
    <x v="17"/>
    <n v="890"/>
    <m/>
    <n v="890"/>
    <n v="890"/>
    <n v="0"/>
    <s v="ok"/>
    <m/>
    <m/>
    <m/>
    <m/>
  </r>
  <r>
    <n v="615"/>
    <s v="Slim"/>
    <s v="Yassmine"/>
    <d v="2014-10-10T00:00:00"/>
    <s v="F"/>
    <n v="23134933"/>
    <n v="20752861"/>
    <s v="yosrakoubaa@yahoo.fr"/>
    <x v="1"/>
    <x v="67"/>
    <s v="( P1 B2 )"/>
    <x v="28"/>
    <n v="1400"/>
    <m/>
    <n v="1400"/>
    <n v="1400"/>
    <n v="0"/>
    <n v="0"/>
    <m/>
    <m/>
    <m/>
    <m/>
  </r>
  <r>
    <n v="616"/>
    <s v="Ben Zayed"/>
    <s v="Majdouline"/>
    <m/>
    <s v="F"/>
    <m/>
    <m/>
    <m/>
    <x v="1"/>
    <x v="62"/>
    <s v="( P1 B3 )"/>
    <x v="27"/>
    <n v="1500"/>
    <m/>
    <n v="1500"/>
    <n v="1500"/>
    <n v="0"/>
    <n v="0"/>
    <m/>
    <m/>
    <m/>
    <m/>
  </r>
  <r>
    <n v="617"/>
    <s v="Ben Zayed"/>
    <s v="Bissen"/>
    <m/>
    <s v="F"/>
    <m/>
    <m/>
    <m/>
    <x v="1"/>
    <x v="10"/>
    <s v=" ( EA 2 )"/>
    <x v="9"/>
    <n v="1700"/>
    <n v="0.12"/>
    <n v="1496"/>
    <n v="1500"/>
    <n v="-4"/>
    <n v="0"/>
    <m/>
    <m/>
    <m/>
    <m/>
  </r>
  <r>
    <n v="618"/>
    <s v="Ghannouchi"/>
    <s v="Adam Mahmoud"/>
    <d v="2017-02-20T00:00:00"/>
    <s v="M"/>
    <n v="58952085"/>
    <n v="22437413"/>
    <s v="nabiha40@gmail.com"/>
    <x v="7"/>
    <x v="44"/>
    <m/>
    <x v="21"/>
    <n v="800"/>
    <m/>
    <n v="800"/>
    <n v="800"/>
    <n v="0"/>
    <s v="ok"/>
    <m/>
    <m/>
    <m/>
    <m/>
  </r>
  <r>
    <n v="282"/>
    <s v="Douma"/>
    <s v="Khadija"/>
    <d v="2015-07-14T00:00:00"/>
    <s v="F"/>
    <n v="24936009"/>
    <m/>
    <m/>
    <x v="0"/>
    <x v="40"/>
    <s v="Lutin 215-2016"/>
    <x v="7"/>
    <n v="500"/>
    <m/>
    <n v="500"/>
    <n v="500"/>
    <n v="0"/>
    <n v="0"/>
    <m/>
    <s v="Ne répond pas"/>
    <m/>
    <m/>
  </r>
  <r>
    <n v="620"/>
    <s v="Znati"/>
    <s v="Youssef"/>
    <d v="2016-03-18T00:00:00"/>
    <s v="M"/>
    <n v="97639777"/>
    <n v="98937377"/>
    <s v="znati.bassem@gmail.com"/>
    <x v="1"/>
    <x v="63"/>
    <s v="(L1 C1)"/>
    <x v="17"/>
    <n v="1000"/>
    <m/>
    <n v="1000"/>
    <n v="1000"/>
    <n v="0"/>
    <n v="0"/>
    <m/>
    <m/>
    <m/>
    <m/>
  </r>
  <r>
    <n v="621"/>
    <s v="Sekik"/>
    <s v="Zeineb"/>
    <d v="2013-03-19T00:00:00"/>
    <s v="F"/>
    <n v="58407766"/>
    <n v="58407440"/>
    <s v="yahiaservices@outlook.fr"/>
    <x v="1"/>
    <x v="62"/>
    <s v="( P1 B3 )"/>
    <x v="27"/>
    <n v="1500"/>
    <m/>
    <n v="1500"/>
    <n v="1500"/>
    <n v="0"/>
    <n v="0"/>
    <m/>
    <m/>
    <m/>
    <m/>
  </r>
  <r>
    <n v="622"/>
    <s v="Morjen"/>
    <s v="Salem"/>
    <d v="2010-09-24T00:00:00"/>
    <s v="M"/>
    <n v="98685338"/>
    <m/>
    <m/>
    <x v="1"/>
    <x v="33"/>
    <s v="( MC2)"/>
    <x v="8"/>
    <n v="1000"/>
    <m/>
    <n v="1000"/>
    <n v="1000"/>
    <n v="0"/>
    <n v="0"/>
    <m/>
    <m/>
    <m/>
    <m/>
  </r>
  <r>
    <n v="623"/>
    <s v="Morjen"/>
    <s v="Mehdi"/>
    <d v="2013-02-14T00:00:00"/>
    <s v="M"/>
    <n v="98685338"/>
    <n v="97553370"/>
    <m/>
    <x v="1"/>
    <x v="22"/>
    <s v="(P2 B2)"/>
    <x v="14"/>
    <n v="1500"/>
    <m/>
    <n v="1500"/>
    <n v="1500"/>
    <n v="0"/>
    <n v="0"/>
    <m/>
    <m/>
    <m/>
    <m/>
  </r>
  <r>
    <n v="624"/>
    <s v="Khalifa"/>
    <s v="Roudaina"/>
    <d v="2013-08-13T00:00:00"/>
    <s v="F"/>
    <n v="98295970"/>
    <n v="22918329"/>
    <m/>
    <x v="0"/>
    <x v="59"/>
    <m/>
    <x v="3"/>
    <n v="500"/>
    <m/>
    <n v="500"/>
    <n v="500"/>
    <n v="0"/>
    <n v="0"/>
    <m/>
    <m/>
    <m/>
    <m/>
  </r>
  <r>
    <n v="625"/>
    <s v="Ben Arfi"/>
    <s v="Amir"/>
    <d v="2012-03-20T00:00:00"/>
    <s v="M"/>
    <n v="98724821"/>
    <n v="98801140"/>
    <m/>
    <x v="1"/>
    <x v="64"/>
    <m/>
    <x v="28"/>
    <n v="1700"/>
    <m/>
    <n v="1700"/>
    <n v="0"/>
    <n v="1700"/>
    <m/>
    <m/>
    <s v="Ne répond pas"/>
    <m/>
    <m/>
  </r>
  <r>
    <n v="626"/>
    <s v="Bouraoui"/>
    <s v="Hedi"/>
    <d v="2014-11-20T00:00:00"/>
    <s v="M"/>
    <n v="97433700"/>
    <n v="97104466"/>
    <s v="ziedbouraoui@gmail.com"/>
    <x v="1"/>
    <x v="67"/>
    <s v="( P1 B2 )"/>
    <x v="28"/>
    <n v="1350"/>
    <m/>
    <n v="1350"/>
    <n v="1350"/>
    <n v="0"/>
    <n v="0"/>
    <m/>
    <m/>
    <m/>
    <m/>
  </r>
  <r>
    <n v="627"/>
    <s v="Ben Arfi"/>
    <s v="Adem"/>
    <d v="2004-10-25T00:00:00"/>
    <s v="M"/>
    <n v="98724821"/>
    <n v="98801140"/>
    <m/>
    <x v="1"/>
    <x v="0"/>
    <s v="( EA 1 )"/>
    <x v="5"/>
    <n v="0"/>
    <m/>
    <n v="0"/>
    <n v="0"/>
    <n v="0"/>
    <s v="A quité"/>
    <m/>
    <m/>
    <m/>
    <m/>
  </r>
  <r>
    <n v="359"/>
    <s v="Griguich"/>
    <s v="Mhamed"/>
    <d v="1997-02-22T00:00:00"/>
    <s v="M"/>
    <n v="98452114"/>
    <m/>
    <m/>
    <x v="4"/>
    <x v="54"/>
    <m/>
    <x v="6"/>
    <n v="600"/>
    <m/>
    <n v="600"/>
    <n v="500"/>
    <n v="100"/>
    <n v="0"/>
    <m/>
    <s v="Ne répond pas"/>
    <m/>
    <m/>
  </r>
  <r>
    <n v="629"/>
    <s v="Hachfi"/>
    <s v="Youssef"/>
    <d v="2011-10-10T00:00:00"/>
    <s v="M"/>
    <n v="98257179"/>
    <n v="20584578"/>
    <m/>
    <x v="1"/>
    <x v="33"/>
    <s v="( MC2)"/>
    <x v="8"/>
    <n v="900"/>
    <m/>
    <n v="900"/>
    <n v="900"/>
    <n v="0"/>
    <n v="0"/>
    <m/>
    <m/>
    <m/>
    <m/>
  </r>
  <r>
    <n v="630"/>
    <s v="Garci"/>
    <s v="Ghalia"/>
    <d v="2017-01-31T00:00:00"/>
    <s v="F"/>
    <n v="95549478"/>
    <m/>
    <m/>
    <x v="1"/>
    <x v="45"/>
    <s v="( P L 1 )"/>
    <x v="21"/>
    <n v="0"/>
    <m/>
    <n v="0"/>
    <n v="0"/>
    <n v="0"/>
    <s v="Ne répond pas"/>
    <m/>
    <m/>
    <m/>
    <m/>
  </r>
  <r>
    <n v="631"/>
    <s v="Rouini"/>
    <s v="Salmen"/>
    <d v="2017-03-13T00:00:00"/>
    <s v="M"/>
    <n v="52625259"/>
    <n v="52625259"/>
    <m/>
    <x v="1"/>
    <x v="44"/>
    <s v="( P L 2 )"/>
    <x v="21"/>
    <n v="720"/>
    <m/>
    <n v="720"/>
    <n v="720"/>
    <n v="0"/>
    <n v="0"/>
    <m/>
    <m/>
    <m/>
    <m/>
  </r>
  <r>
    <n v="399"/>
    <s v="Boudaga"/>
    <s v="Med Omar"/>
    <d v="2010-09-14T00:00:00"/>
    <s v="M"/>
    <n v="98683334"/>
    <m/>
    <m/>
    <x v="0"/>
    <x v="6"/>
    <s v="Club Junior"/>
    <x v="7"/>
    <n v="500"/>
    <m/>
    <n v="500"/>
    <n v="400"/>
    <n v="100"/>
    <n v="0"/>
    <m/>
    <s v="ok"/>
    <m/>
    <m/>
  </r>
  <r>
    <n v="633"/>
    <s v="Jedidi"/>
    <s v="Nijed"/>
    <d v="2018-03-25T00:00:00"/>
    <s v="M"/>
    <n v="55706906"/>
    <n v="52402699"/>
    <m/>
    <x v="1"/>
    <x v="43"/>
    <s v="ecole"/>
    <x v="21"/>
    <n v="500"/>
    <m/>
    <n v="500"/>
    <n v="500"/>
    <n v="0"/>
    <n v="0"/>
    <m/>
    <m/>
    <m/>
    <m/>
  </r>
  <r>
    <n v="411"/>
    <s v="Sahli"/>
    <s v="Iyed"/>
    <d v="2010-08-18T00:00:00"/>
    <s v="M"/>
    <n v="99010934"/>
    <n v="97452989"/>
    <m/>
    <x v="0"/>
    <x v="19"/>
    <m/>
    <x v="3"/>
    <n v="500"/>
    <m/>
    <n v="500"/>
    <n v="400"/>
    <n v="100"/>
    <n v="0"/>
    <m/>
    <s v="Ne répond pas"/>
    <m/>
    <m/>
  </r>
  <r>
    <n v="635"/>
    <s v="Paquereau"/>
    <s v="Aleksandra Denise"/>
    <d v="2018-05-01T00:00:00"/>
    <s v="F"/>
    <n v="28986012"/>
    <m/>
    <m/>
    <x v="0"/>
    <x v="48"/>
    <s v="Pré-Lutins 2019"/>
    <x v="2"/>
    <n v="500"/>
    <m/>
    <n v="500"/>
    <n v="500"/>
    <n v="0"/>
    <n v="0"/>
    <m/>
    <m/>
    <m/>
    <m/>
  </r>
  <r>
    <n v="636"/>
    <s v="Turki"/>
    <s v="Kamel"/>
    <d v="1983-02-19T00:00:00"/>
    <s v="M"/>
    <n v="22909920"/>
    <m/>
    <m/>
    <x v="4"/>
    <x v="0"/>
    <m/>
    <x v="5"/>
    <n v="500"/>
    <m/>
    <n v="500"/>
    <n v="500"/>
    <n v="0"/>
    <n v="0"/>
    <m/>
    <m/>
    <m/>
    <m/>
  </r>
  <r>
    <n v="637"/>
    <s v="Laouiti"/>
    <s v="Sirine"/>
    <d v="2010-12-21T00:00:00"/>
    <s v="F"/>
    <n v="29554014"/>
    <m/>
    <m/>
    <x v="2"/>
    <x v="0"/>
    <m/>
    <x v="5"/>
    <n v="500"/>
    <m/>
    <n v="500"/>
    <n v="500"/>
    <n v="0"/>
    <n v="0"/>
    <m/>
    <m/>
    <m/>
    <m/>
  </r>
  <r>
    <n v="638"/>
    <s v="Jday"/>
    <s v="Taha Yacine"/>
    <d v="2015-11-14T00:00:00"/>
    <s v="M"/>
    <n v="26441720"/>
    <n v="22318801"/>
    <s v="bensalahsamar@yahoo.fr"/>
    <x v="0"/>
    <x v="50"/>
    <s v="Poussins 2014 A"/>
    <x v="3"/>
    <n v="250"/>
    <m/>
    <n v="250"/>
    <n v="250"/>
    <n v="0"/>
    <n v="0"/>
    <m/>
    <m/>
    <m/>
    <m/>
  </r>
  <r>
    <n v="551"/>
    <s v="Chargui"/>
    <s v="Omar"/>
    <d v="2011-04-10T00:00:00"/>
    <s v="M"/>
    <n v="97050400"/>
    <n v="95302310"/>
    <m/>
    <x v="0"/>
    <x v="4"/>
    <s v="club junior"/>
    <x v="6"/>
    <n v="500"/>
    <n v="0.1"/>
    <n v="450"/>
    <n v="450"/>
    <n v="0"/>
    <s v="ok"/>
    <m/>
    <s v="ok"/>
    <m/>
    <m/>
  </r>
  <r>
    <n v="640"/>
    <s v="Zaghdane"/>
    <s v="Yasmine"/>
    <d v="2017-09-07T00:00:00"/>
    <s v="F"/>
    <n v="58529460"/>
    <n v="23987069"/>
    <m/>
    <x v="0"/>
    <x v="0"/>
    <s v="Pré-Lutins 2017 A1"/>
    <x v="5"/>
    <n v="500"/>
    <m/>
    <n v="500"/>
    <n v="500"/>
    <n v="0"/>
    <n v="0"/>
    <m/>
    <m/>
    <m/>
    <m/>
  </r>
  <r>
    <n v="641"/>
    <s v="Ben Khelil"/>
    <s v="Ghalia"/>
    <d v="2017-09-15T00:00:00"/>
    <s v="F"/>
    <n v="51500000"/>
    <n v="50866558"/>
    <m/>
    <x v="0"/>
    <x v="39"/>
    <s v="Lutin 2015-2016N"/>
    <x v="15"/>
    <n v="450"/>
    <m/>
    <n v="450"/>
    <n v="450"/>
    <n v="0"/>
    <s v="A quité"/>
    <m/>
    <m/>
    <m/>
    <m/>
  </r>
  <r>
    <n v="642"/>
    <s v="Ben Abdessalem"/>
    <s v="Yahya"/>
    <d v="2017-02-11T00:00:00"/>
    <s v="M"/>
    <n v="23141065"/>
    <n v="53635123"/>
    <m/>
    <x v="0"/>
    <x v="0"/>
    <s v="Pré-Lutins 2017 A"/>
    <x v="5"/>
    <n v="200"/>
    <m/>
    <n v="200"/>
    <n v="200"/>
    <n v="0"/>
    <s v="Sans fiche"/>
    <m/>
    <m/>
    <m/>
    <m/>
  </r>
  <r>
    <n v="643"/>
    <s v="Ben Hamed"/>
    <s v="Lara"/>
    <d v="2018-06-21T00:00:00"/>
    <s v="F"/>
    <n v="22157388"/>
    <n v="28980469"/>
    <s v="Zied-benhamed@hotmail.fr"/>
    <x v="0"/>
    <x v="0"/>
    <s v="Pré-Lutins 2018-"/>
    <x v="5"/>
    <n v="500"/>
    <m/>
    <n v="500"/>
    <n v="500"/>
    <n v="0"/>
    <s v="Sans fiche"/>
    <m/>
    <m/>
    <m/>
    <m/>
  </r>
  <r>
    <n v="644"/>
    <s v="Ben Frej"/>
    <s v="Chadha"/>
    <d v="2016-08-16T00:00:00"/>
    <s v="F"/>
    <n v="26182000"/>
    <n v="21821776"/>
    <s v="ezzedine@dreamnegou,com"/>
    <x v="2"/>
    <x v="0"/>
    <m/>
    <x v="5"/>
    <n v="450"/>
    <m/>
    <n v="450"/>
    <n v="450"/>
    <n v="0"/>
    <n v="0"/>
    <m/>
    <m/>
    <m/>
    <m/>
  </r>
  <r>
    <n v="645"/>
    <s v="Louhichi"/>
    <s v="Adem"/>
    <d v="2010-05-03T00:00:00"/>
    <s v="M"/>
    <n v="58340513"/>
    <m/>
    <m/>
    <x v="1"/>
    <x v="1"/>
    <m/>
    <x v="1"/>
    <n v="1700"/>
    <m/>
    <n v="1700"/>
    <n v="1700"/>
    <n v="0"/>
    <n v="0"/>
    <m/>
    <m/>
    <m/>
    <m/>
  </r>
  <r>
    <n v="646"/>
    <s v="Berhouma"/>
    <s v="Youssef"/>
    <m/>
    <s v="M"/>
    <m/>
    <m/>
    <m/>
    <x v="0"/>
    <x v="21"/>
    <s v="Benjamins N"/>
    <x v="7"/>
    <n v="0"/>
    <m/>
    <n v="0"/>
    <n v="0"/>
    <n v="0"/>
    <e v="#N/A"/>
    <m/>
    <m/>
    <m/>
    <m/>
  </r>
  <r>
    <n v="647"/>
    <s v="Dallel"/>
    <s v="Arinas"/>
    <m/>
    <s v="F"/>
    <n v="51016602"/>
    <m/>
    <m/>
    <x v="0"/>
    <x v="21"/>
    <s v="Benjamins N"/>
    <x v="7"/>
    <n v="250"/>
    <m/>
    <n v="250"/>
    <n v="250"/>
    <n v="0"/>
    <e v="#N/A"/>
    <m/>
    <m/>
    <m/>
    <m/>
  </r>
  <r>
    <n v="648"/>
    <s v="Mallessi"/>
    <s v="Youssef"/>
    <m/>
    <s v="M"/>
    <m/>
    <m/>
    <m/>
    <x v="0"/>
    <x v="21"/>
    <s v="Benjamins N"/>
    <x v="7"/>
    <n v="0"/>
    <m/>
    <n v="0"/>
    <n v="0"/>
    <n v="0"/>
    <e v="#N/A"/>
    <m/>
    <m/>
    <m/>
    <m/>
  </r>
  <r>
    <n v="649"/>
    <s v="Mtiri"/>
    <s v="Zeineb"/>
    <m/>
    <s v="F"/>
    <m/>
    <m/>
    <m/>
    <x v="0"/>
    <x v="0"/>
    <s v="Poussins 2014 N"/>
    <x v="26"/>
    <n v="0"/>
    <m/>
    <n v="0"/>
    <n v="0"/>
    <n v="0"/>
    <m/>
    <m/>
    <m/>
    <m/>
    <m/>
  </r>
  <r>
    <n v="650"/>
    <s v="Milli"/>
    <s v="Juri"/>
    <m/>
    <s v="F"/>
    <m/>
    <m/>
    <m/>
    <x v="0"/>
    <x v="37"/>
    <s v="Pré-Lutins 2018 "/>
    <x v="2"/>
    <n v="0"/>
    <m/>
    <n v="0"/>
    <n v="0"/>
    <n v="0"/>
    <e v="#N/A"/>
    <m/>
    <m/>
    <m/>
    <m/>
  </r>
  <r>
    <n v="651"/>
    <s v="Nebli"/>
    <s v="Khaled"/>
    <m/>
    <s v="M"/>
    <m/>
    <m/>
    <m/>
    <x v="0"/>
    <x v="31"/>
    <s v="Club Junior A"/>
    <x v="4"/>
    <n v="500"/>
    <m/>
    <n v="500"/>
    <n v="500"/>
    <n v="0"/>
    <e v="#N/A"/>
    <m/>
    <m/>
    <m/>
    <m/>
  </r>
  <r>
    <n v="652"/>
    <s v="Achour"/>
    <s v="Yessmine"/>
    <m/>
    <s v="F"/>
    <m/>
    <m/>
    <m/>
    <x v="0"/>
    <x v="56"/>
    <s v="Lutins 2015-2016 N"/>
    <x v="4"/>
    <n v="0"/>
    <m/>
    <n v="0"/>
    <n v="0"/>
    <n v="0"/>
    <e v="#N/A"/>
    <m/>
    <m/>
    <m/>
    <m/>
  </r>
  <r>
    <n v="653"/>
    <s v="Dahmen"/>
    <s v="Amir"/>
    <m/>
    <s v="M"/>
    <n v="29113701"/>
    <m/>
    <m/>
    <x v="1"/>
    <x v="60"/>
    <s v="( L1 C3 )"/>
    <x v="17"/>
    <n v="0"/>
    <m/>
    <n v="0"/>
    <n v="0"/>
    <n v="0"/>
    <e v="#N/A"/>
    <m/>
    <m/>
    <m/>
    <m/>
  </r>
  <r>
    <n v="654"/>
    <s v="Moulahi"/>
    <s v="Aziz"/>
    <m/>
    <s v="M"/>
    <m/>
    <m/>
    <m/>
    <x v="1"/>
    <x v="0"/>
    <s v="( EA 1 )"/>
    <x v="5"/>
    <n v="0"/>
    <m/>
    <n v="0"/>
    <n v="0"/>
    <n v="0"/>
    <m/>
    <m/>
    <m/>
    <m/>
    <m/>
  </r>
  <r>
    <n v="655"/>
    <s v="Messai"/>
    <s v="Zeineb"/>
    <m/>
    <s v="F"/>
    <m/>
    <m/>
    <m/>
    <x v="0"/>
    <x v="0"/>
    <s v="Pré-Lutins 2018"/>
    <x v="5"/>
    <n v="0"/>
    <m/>
    <n v="0"/>
    <n v="0"/>
    <n v="0"/>
    <m/>
    <m/>
    <m/>
    <m/>
    <m/>
  </r>
  <r>
    <n v="656"/>
    <s v="Letaief"/>
    <s v="Youssef"/>
    <d v="2015-06-15T00:00:00"/>
    <s v="M"/>
    <n v="97228228"/>
    <n v="93460064"/>
    <s v="hanene.letaief@tunisietelecom.tn"/>
    <x v="2"/>
    <x v="13"/>
    <m/>
    <x v="5"/>
    <n v="100"/>
    <m/>
    <n v="100"/>
    <n v="100"/>
    <n v="0"/>
    <n v="0"/>
    <m/>
    <m/>
    <m/>
    <m/>
  </r>
  <r>
    <n v="657"/>
    <s v="Ayechi"/>
    <s v="Selim"/>
    <m/>
    <s v="M"/>
    <m/>
    <m/>
    <m/>
    <x v="2"/>
    <x v="0"/>
    <m/>
    <x v="5"/>
    <n v="500"/>
    <m/>
    <n v="500"/>
    <n v="200"/>
    <n v="300"/>
    <n v="0"/>
    <m/>
    <m/>
    <m/>
    <m/>
  </r>
  <r>
    <n v="658"/>
    <s v="Sakhri"/>
    <s v="Elaa"/>
    <m/>
    <m/>
    <m/>
    <m/>
    <m/>
    <x v="0"/>
    <x v="0"/>
    <s v="Benjamins 2012-2013"/>
    <x v="5"/>
    <n v="0"/>
    <m/>
    <n v="0"/>
    <n v="0"/>
    <n v="0"/>
    <m/>
    <m/>
    <m/>
    <m/>
    <m/>
  </r>
  <r>
    <n v="659"/>
    <s v="Knaz"/>
    <s v="Aycha"/>
    <m/>
    <s v="F"/>
    <m/>
    <m/>
    <m/>
    <x v="2"/>
    <x v="0"/>
    <m/>
    <x v="5"/>
    <n v="200"/>
    <m/>
    <n v="200"/>
    <n v="100"/>
    <n v="100"/>
    <n v="0"/>
    <m/>
    <m/>
    <m/>
    <m/>
  </r>
  <r>
    <n v="552"/>
    <s v="Chargui"/>
    <s v="Adem"/>
    <d v="2008-10-22T00:00:00"/>
    <s v="M"/>
    <n v="97050400"/>
    <n v="95302310"/>
    <m/>
    <x v="0"/>
    <x v="31"/>
    <s v="Club Junior A"/>
    <x v="4"/>
    <n v="500"/>
    <n v="0.1"/>
    <n v="450"/>
    <n v="450"/>
    <n v="0"/>
    <s v="ok"/>
    <m/>
    <s v="ok"/>
    <m/>
    <m/>
  </r>
  <r>
    <n v="660"/>
    <s v="Amamou"/>
    <s v="Linda"/>
    <d v="2016-06-26T00:00:00"/>
    <s v="F"/>
    <n v="55389816"/>
    <n v="50864429"/>
    <m/>
    <x v="7"/>
    <x v="0"/>
    <m/>
    <x v="5"/>
    <n v="150"/>
    <m/>
    <n v="150"/>
    <n v="150"/>
    <n v="0"/>
    <s v="ok"/>
    <m/>
    <s v="ok"/>
    <m/>
    <m/>
  </r>
  <r>
    <n v="661"/>
    <s v="Amamou"/>
    <s v="Mira"/>
    <d v="2018-04-02T00:00:00"/>
    <s v="F"/>
    <n v="55389816"/>
    <n v="50864429"/>
    <m/>
    <x v="7"/>
    <x v="0"/>
    <m/>
    <x v="5"/>
    <n v="150"/>
    <m/>
    <n v="150"/>
    <n v="150"/>
    <n v="0"/>
    <s v="Ne répond pas"/>
    <m/>
    <s v="ok"/>
    <m/>
    <m/>
  </r>
  <r>
    <n v="663"/>
    <s v="El Ezzi"/>
    <s v="Ilyes"/>
    <d v="2018-11-07T00:00:00"/>
    <s v="M"/>
    <n v="56192888"/>
    <n v="51929218"/>
    <m/>
    <x v="7"/>
    <x v="0"/>
    <m/>
    <x v="5"/>
    <n v="150"/>
    <m/>
    <n v="150"/>
    <n v="150"/>
    <n v="0"/>
    <n v="0"/>
    <m/>
    <s v="ok"/>
    <m/>
    <m/>
  </r>
  <r>
    <n v="664"/>
    <s v="Tej"/>
    <s v="Cyrine"/>
    <d v="2016-05-30T00:00:00"/>
    <s v="F"/>
    <n v="53331819"/>
    <n v="53334085"/>
    <m/>
    <x v="7"/>
    <x v="0"/>
    <m/>
    <x v="5"/>
    <m/>
    <m/>
    <m/>
    <n v="150"/>
    <n v="-150"/>
    <e v="#N/A"/>
    <m/>
    <m/>
    <m/>
    <m/>
  </r>
  <r>
    <n v="53"/>
    <s v="Dhokkar"/>
    <s v="Kenza"/>
    <d v="2011-08-16T00:00:00"/>
    <s v="F"/>
    <n v="98404824"/>
    <m/>
    <m/>
    <x v="2"/>
    <x v="0"/>
    <m/>
    <x v="5"/>
    <n v="500"/>
    <n v="0.1"/>
    <n v="450"/>
    <n v="400"/>
    <n v="50"/>
    <n v="0"/>
    <m/>
    <m/>
    <m/>
    <m/>
  </r>
  <r>
    <n v="124"/>
    <s v="Ghannouchi"/>
    <s v="Ahmad"/>
    <d v="2018-06-24T00:00:00"/>
    <s v="M"/>
    <n v="22437413"/>
    <m/>
    <m/>
    <x v="0"/>
    <x v="37"/>
    <s v="Pré-Lutin 2018"/>
    <x v="2"/>
    <n v="150"/>
    <m/>
    <n v="150"/>
    <n v="100"/>
    <n v="50"/>
    <n v="0"/>
    <m/>
    <m/>
    <m/>
    <m/>
  </r>
  <r>
    <n v="175"/>
    <s v="Zaghdoudi"/>
    <s v="Aya"/>
    <d v="2018-11-01T00:00:00"/>
    <s v="F"/>
    <n v="97664921"/>
    <m/>
    <m/>
    <x v="0"/>
    <x v="41"/>
    <s v="Pré-Lutins 2018"/>
    <x v="15"/>
    <n v="250"/>
    <m/>
    <n v="250"/>
    <n v="200"/>
    <n v="50"/>
    <n v="0"/>
    <m/>
    <m/>
    <m/>
    <m/>
  </r>
  <r>
    <n v="211"/>
    <s v="Belkhiria"/>
    <s v="Hiadaya"/>
    <d v="2018-04-14T00:00:00"/>
    <s v="F"/>
    <n v="96445944"/>
    <m/>
    <m/>
    <x v="0"/>
    <x v="24"/>
    <s v="Prélutins 2018"/>
    <x v="4"/>
    <n v="450"/>
    <m/>
    <n v="450"/>
    <n v="450"/>
    <n v="0"/>
    <n v="0"/>
    <m/>
    <m/>
    <m/>
    <m/>
  </r>
  <r>
    <n v="669"/>
    <s v="Mrad"/>
    <s v="Mayar"/>
    <m/>
    <s v="F"/>
    <n v="97227397"/>
    <n v="97452863"/>
    <s v="mradseif@yahoo.fr"/>
    <x v="0"/>
    <x v="46"/>
    <s v="Pré-Lutins 2018-"/>
    <x v="22"/>
    <n v="0"/>
    <m/>
    <n v="0"/>
    <n v="0"/>
    <n v="0"/>
    <e v="#N/A"/>
    <m/>
    <m/>
    <m/>
    <m/>
  </r>
  <r>
    <n v="468"/>
    <s v="Dhokkar"/>
    <s v="Aziz"/>
    <d v="2014-03-03T00:00:00"/>
    <s v="M"/>
    <n v="98404824"/>
    <n v="92932864"/>
    <m/>
    <x v="0"/>
    <x v="52"/>
    <m/>
    <x v="15"/>
    <n v="500"/>
    <n v="0.1"/>
    <n v="450"/>
    <n v="400"/>
    <n v="50"/>
    <n v="0"/>
    <m/>
    <m/>
    <m/>
    <m/>
  </r>
  <r>
    <n v="671"/>
    <s v="Ben Mechlia"/>
    <s v="Ritej"/>
    <d v="2009-07-11T00:00:00"/>
    <s v="F"/>
    <n v="23518009"/>
    <n v="21740419"/>
    <m/>
    <x v="0"/>
    <x v="0"/>
    <m/>
    <x v="4"/>
    <n v="150"/>
    <m/>
    <n v="150"/>
    <n v="150"/>
    <n v="0"/>
    <e v="#N/A"/>
    <m/>
    <m/>
    <m/>
    <m/>
  </r>
  <r>
    <n v="296"/>
    <s v="Baaziz"/>
    <s v="Khalil"/>
    <d v="2015-02-20T00:00:00"/>
    <s v="M"/>
    <n v="53092020"/>
    <m/>
    <m/>
    <x v="2"/>
    <x v="0"/>
    <m/>
    <x v="5"/>
    <n v="500"/>
    <m/>
    <n v="500"/>
    <n v="470"/>
    <n v="30"/>
    <n v="0"/>
    <m/>
    <m/>
    <m/>
    <m/>
  </r>
  <r>
    <n v="673"/>
    <s v="Mnaser"/>
    <s v="Jamila"/>
    <d v="2019-02-15T00:00:00"/>
    <s v="F"/>
    <n v="52110114"/>
    <n v="52799779"/>
    <s v="mnasser.mohamed@gmail.com"/>
    <x v="0"/>
    <x v="37"/>
    <s v="Pré-Lutins 2018 "/>
    <x v="2"/>
    <n v="200"/>
    <n v="0.1"/>
    <n v="180"/>
    <n v="180"/>
    <n v="0"/>
    <e v="#N/A"/>
    <m/>
    <m/>
    <m/>
    <m/>
  </r>
  <r>
    <n v="674"/>
    <s v="Chedly"/>
    <s v="Mohamed"/>
    <m/>
    <s v="M"/>
    <n v="97600501"/>
    <n v="92065101"/>
    <m/>
    <x v="7"/>
    <x v="0"/>
    <m/>
    <x v="5"/>
    <n v="100"/>
    <m/>
    <n v="100"/>
    <n v="100"/>
    <n v="0"/>
    <m/>
    <m/>
    <m/>
    <m/>
    <m/>
  </r>
  <r>
    <n v="675"/>
    <s v="Nasr"/>
    <s v="Wissem"/>
    <m/>
    <s v="M"/>
    <m/>
    <m/>
    <m/>
    <x v="1"/>
    <x v="13"/>
    <s v="( L2 C2 )"/>
    <x v="5"/>
    <n v="0"/>
    <m/>
    <n v="0"/>
    <n v="0"/>
    <n v="0"/>
    <e v="#N/A"/>
    <m/>
    <m/>
    <m/>
    <m/>
  </r>
  <r>
    <n v="676"/>
    <s v="Belhaj"/>
    <s v="Joud Karam"/>
    <m/>
    <s v="M"/>
    <m/>
    <m/>
    <m/>
    <x v="0"/>
    <x v="0"/>
    <s v="Pré-Lutins 2017 A2"/>
    <x v="5"/>
    <n v="0"/>
    <m/>
    <n v="0"/>
    <n v="0"/>
    <n v="0"/>
    <e v="#N/A"/>
    <m/>
    <m/>
    <m/>
    <m/>
  </r>
  <r>
    <n v="677"/>
    <s v="Ben Ammar"/>
    <s v="Tasnim"/>
    <m/>
    <s v="F"/>
    <m/>
    <m/>
    <m/>
    <x v="1"/>
    <x v="0"/>
    <s v="( L2 C2 )"/>
    <x v="5"/>
    <n v="0"/>
    <m/>
    <n v="0"/>
    <n v="0"/>
    <n v="0"/>
    <e v="#N/A"/>
    <m/>
    <m/>
    <m/>
    <m/>
  </r>
  <r>
    <n v="678"/>
    <s v="Ben Fares"/>
    <s v="Aicha"/>
    <m/>
    <s v="F"/>
    <m/>
    <m/>
    <m/>
    <x v="0"/>
    <x v="0"/>
    <s v="Pré-Lutins 2015"/>
    <x v="5"/>
    <n v="0"/>
    <m/>
    <n v="0"/>
    <n v="0"/>
    <n v="0"/>
    <e v="#N/A"/>
    <m/>
    <m/>
    <m/>
    <m/>
  </r>
  <r>
    <n v="679"/>
    <s v="Daouas"/>
    <s v="Aicha"/>
    <m/>
    <s v="F"/>
    <m/>
    <m/>
    <m/>
    <x v="1"/>
    <x v="13"/>
    <s v="(P2 B2)"/>
    <x v="5"/>
    <m/>
    <m/>
    <n v="0"/>
    <n v="0"/>
    <n v="0"/>
    <e v="#N/A"/>
    <m/>
    <m/>
    <m/>
    <m/>
  </r>
  <r>
    <n v="680"/>
    <s v="Hfaiedh"/>
    <s v="Omar"/>
    <m/>
    <s v="M"/>
    <m/>
    <m/>
    <m/>
    <x v="1"/>
    <x v="13"/>
    <s v="( EA 1 )"/>
    <x v="5"/>
    <m/>
    <m/>
    <n v="0"/>
    <n v="0"/>
    <n v="0"/>
    <e v="#N/A"/>
    <m/>
    <m/>
    <m/>
    <m/>
  </r>
  <r>
    <n v="681"/>
    <s v="Jday"/>
    <s v="Youssef"/>
    <m/>
    <s v="M"/>
    <m/>
    <m/>
    <m/>
    <x v="0"/>
    <x v="0"/>
    <s v="Club Junior N"/>
    <x v="5"/>
    <n v="0"/>
    <m/>
    <n v="0"/>
    <n v="0"/>
    <n v="0"/>
    <m/>
    <m/>
    <m/>
    <m/>
    <m/>
  </r>
  <r>
    <n v="682"/>
    <s v="Kafi"/>
    <s v="Miral"/>
    <m/>
    <s v="F"/>
    <m/>
    <m/>
    <m/>
    <x v="0"/>
    <x v="0"/>
    <s v="Club Junior A"/>
    <x v="5"/>
    <n v="0"/>
    <m/>
    <n v="0"/>
    <n v="0"/>
    <n v="0"/>
    <m/>
    <m/>
    <m/>
    <m/>
    <m/>
  </r>
  <r>
    <n v="683"/>
    <s v="Medni"/>
    <s v="Zaineb"/>
    <m/>
    <s v="F"/>
    <n v="28336340"/>
    <m/>
    <m/>
    <x v="2"/>
    <x v="0"/>
    <m/>
    <x v="5"/>
    <n v="0"/>
    <m/>
    <n v="0"/>
    <n v="0"/>
    <n v="0"/>
    <e v="#N/A"/>
    <m/>
    <m/>
    <m/>
    <m/>
  </r>
  <r>
    <n v="684"/>
    <s v="Ali"/>
    <s v="Mohamed Ali"/>
    <m/>
    <s v="M"/>
    <m/>
    <m/>
    <m/>
    <x v="0"/>
    <x v="0"/>
    <s v="Club Junior A"/>
    <x v="5"/>
    <n v="0"/>
    <m/>
    <n v="0"/>
    <n v="0"/>
    <n v="0"/>
    <e v="#N/A"/>
    <m/>
    <m/>
    <m/>
    <m/>
  </r>
  <r>
    <n v="685"/>
    <s v="Belhadj Mbarek"/>
    <s v="Mohamed"/>
    <m/>
    <s v="M"/>
    <m/>
    <m/>
    <m/>
    <x v="0"/>
    <x v="0"/>
    <s v="Club Junior A"/>
    <x v="5"/>
    <n v="0"/>
    <m/>
    <n v="0"/>
    <n v="0"/>
    <n v="0"/>
    <e v="#N/A"/>
    <m/>
    <m/>
    <m/>
    <m/>
  </r>
  <r>
    <n v="686"/>
    <s v="Ayoub"/>
    <s v="Mohamad"/>
    <m/>
    <s v="M"/>
    <m/>
    <m/>
    <m/>
    <x v="0"/>
    <x v="0"/>
    <s v="Benjamins "/>
    <x v="7"/>
    <n v="0"/>
    <m/>
    <n v="0"/>
    <n v="0"/>
    <n v="0"/>
    <e v="#N/A"/>
    <m/>
    <m/>
    <m/>
    <m/>
  </r>
  <r>
    <n v="688"/>
    <s v="Baccouche"/>
    <s v="Maya"/>
    <d v="2014-10-29T00:00:00"/>
    <s v="F"/>
    <n v="98404321"/>
    <n v="98255566"/>
    <s v="ziedbac@gmail.com"/>
    <x v="0"/>
    <x v="0"/>
    <m/>
    <x v="6"/>
    <n v="150"/>
    <m/>
    <n v="150"/>
    <n v="0"/>
    <n v="150"/>
    <m/>
    <m/>
    <m/>
    <m/>
    <m/>
  </r>
  <r>
    <m/>
    <m/>
    <m/>
    <m/>
    <m/>
    <m/>
    <m/>
    <m/>
    <x v="7"/>
    <x v="0"/>
    <m/>
    <x v="5"/>
    <m/>
    <m/>
    <m/>
    <n v="0"/>
    <n v="0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m/>
    <x v="0"/>
    <x v="0"/>
    <m/>
    <m/>
    <m/>
    <m/>
    <m/>
    <m/>
    <m/>
    <m/>
    <m/>
    <m/>
    <m/>
    <n v="0"/>
    <m/>
    <n v="0"/>
    <n v="0"/>
    <n v="0"/>
    <x v="0"/>
    <m/>
    <n v="0"/>
    <n v="0"/>
  </r>
  <r>
    <m/>
    <x v="0"/>
    <x v="0"/>
    <m/>
    <m/>
    <m/>
    <m/>
    <m/>
    <m/>
    <m/>
    <m/>
    <m/>
    <m/>
    <m/>
    <n v="0"/>
    <m/>
    <n v="0"/>
    <n v="0"/>
    <n v="0"/>
    <x v="0"/>
    <m/>
    <n v="0"/>
    <n v="0"/>
  </r>
  <r>
    <m/>
    <x v="0"/>
    <x v="0"/>
    <m/>
    <m/>
    <m/>
    <m/>
    <m/>
    <m/>
    <m/>
    <m/>
    <m/>
    <m/>
    <m/>
    <n v="0"/>
    <m/>
    <n v="0"/>
    <n v="0"/>
    <n v="0"/>
    <x v="0"/>
    <m/>
    <n v="0"/>
    <n v="0"/>
  </r>
  <r>
    <m/>
    <x v="0"/>
    <x v="0"/>
    <m/>
    <m/>
    <m/>
    <m/>
    <m/>
    <m/>
    <m/>
    <m/>
    <m/>
    <m/>
    <m/>
    <n v="0"/>
    <m/>
    <n v="0"/>
    <n v="0"/>
    <n v="0"/>
    <x v="0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E46F77-DDDC-40CC-A8F9-5E7A2222C412}" name="Tableau croisé dynamique1" cacheId="0" applyNumberFormats="0" applyBorderFormats="0" applyFontFormats="0" applyPatternFormats="0" applyAlignmentFormats="0" applyWidthHeightFormats="1" dataCaption="Valeurs" updatedVersion="8" minRefreshableVersion="3" showDataTips="0" useAutoFormatting="1" itemPrintTitles="1" createdVersion="8" indent="0" compact="0" compactData="0" gridDropZones="1" multipleFieldFilters="0">
  <location ref="A3:E28" firstHeaderRow="1" firstDataRow="2" firstDataCol="2" rowPageCount="1" colPageCount="1"/>
  <pivotFields count="22"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10">
        <item h="1" x="4"/>
        <item x="1"/>
        <item h="1" x="0"/>
        <item h="1" x="3"/>
        <item h="1" x="6"/>
        <item h="1" x="8"/>
        <item h="1" x="2"/>
        <item h="1" x="5"/>
        <item h="1" x="7"/>
        <item t="default"/>
      </items>
    </pivotField>
    <pivotField axis="axisRow" compact="0" outline="0" showAll="0" defaultSubtotal="0">
      <items count="68">
        <item h="1" x="13"/>
        <item x="29"/>
        <item x="40"/>
        <item x="6"/>
        <item x="8"/>
        <item x="21"/>
        <item x="18"/>
        <item x="9"/>
        <item x="37"/>
        <item x="2"/>
        <item x="43"/>
        <item x="42"/>
        <item x="36"/>
        <item x="14"/>
        <item x="48"/>
        <item x="3"/>
        <item x="31"/>
        <item x="53"/>
        <item x="16"/>
        <item x="56"/>
        <item x="24"/>
        <item x="49"/>
        <item x="1"/>
        <item x="20"/>
        <item x="46"/>
        <item x="51"/>
        <item x="41"/>
        <item x="52"/>
        <item x="61"/>
        <item x="26"/>
        <item x="27"/>
        <item x="47"/>
        <item x="59"/>
        <item x="50"/>
        <item x="38"/>
        <item x="30"/>
        <item x="19"/>
        <item x="60"/>
        <item x="34"/>
        <item x="63"/>
        <item x="65"/>
        <item x="10"/>
        <item x="64"/>
        <item x="67"/>
        <item x="17"/>
        <item x="28"/>
        <item x="7"/>
        <item x="33"/>
        <item x="58"/>
        <item x="45"/>
        <item x="44"/>
        <item x="62"/>
        <item x="11"/>
        <item x="66"/>
        <item x="23"/>
        <item x="22"/>
        <item x="54"/>
        <item x="5"/>
        <item x="4"/>
        <item x="57"/>
        <item x="55"/>
        <item x="12"/>
        <item x="39"/>
        <item x="25"/>
        <item x="15"/>
        <item x="32"/>
        <item x="35"/>
        <item h="1" x="0"/>
      </items>
    </pivotField>
    <pivotField compact="0" outline="0" showAll="0"/>
    <pivotField axis="axisRow" compact="0" outline="0" showAll="0">
      <items count="30">
        <item x="25"/>
        <item x="13"/>
        <item x="8"/>
        <item x="17"/>
        <item x="24"/>
        <item x="6"/>
        <item x="23"/>
        <item x="3"/>
        <item x="7"/>
        <item x="11"/>
        <item x="26"/>
        <item x="0"/>
        <item x="1"/>
        <item x="15"/>
        <item x="22"/>
        <item x="10"/>
        <item x="9"/>
        <item x="21"/>
        <item x="27"/>
        <item x="4"/>
        <item x="16"/>
        <item x="18"/>
        <item x="2"/>
        <item x="19"/>
        <item x="20"/>
        <item x="14"/>
        <item x="28"/>
        <item x="12"/>
        <item x="5"/>
        <item t="default"/>
      </items>
    </pivotField>
    <pivotField compact="0" outline="0" showAll="0"/>
    <pivotField compact="0" outline="0" showAll="0"/>
    <pivotField dataField="1" compact="0" outline="0" showAll="0"/>
    <pivotField dataField="1" compact="0" outline="0" showAll="0"/>
    <pivotField compact="0" numFmtId="165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9"/>
    <field x="11"/>
  </rowFields>
  <rowItems count="24">
    <i>
      <x v="10"/>
      <x v="17"/>
    </i>
    <i>
      <x v="22"/>
      <x v="12"/>
    </i>
    <i>
      <x v="23"/>
      <x v="12"/>
    </i>
    <i>
      <x v="29"/>
      <x v="13"/>
    </i>
    <i>
      <x v="37"/>
      <x v="3"/>
    </i>
    <i>
      <x v="38"/>
      <x v="3"/>
    </i>
    <i>
      <x v="39"/>
      <x v="3"/>
    </i>
    <i>
      <x v="40"/>
      <x v="16"/>
    </i>
    <i>
      <x v="41"/>
      <x v="16"/>
    </i>
    <i>
      <x v="42"/>
      <x v="26"/>
    </i>
    <i>
      <x v="43"/>
      <x v="26"/>
    </i>
    <i>
      <x v="44"/>
      <x v="1"/>
    </i>
    <i>
      <x v="45"/>
      <x v="2"/>
    </i>
    <i>
      <x v="46"/>
      <x v="2"/>
    </i>
    <i>
      <x v="47"/>
      <x v="2"/>
    </i>
    <i>
      <x v="48"/>
      <x v="17"/>
    </i>
    <i>
      <x v="49"/>
      <x v="17"/>
    </i>
    <i>
      <x v="50"/>
      <x v="17"/>
    </i>
    <i>
      <x v="51"/>
      <x v="18"/>
    </i>
    <i>
      <x v="52"/>
      <x v="15"/>
    </i>
    <i>
      <x v="53"/>
      <x v="15"/>
    </i>
    <i>
      <x v="54"/>
      <x v="25"/>
    </i>
    <i>
      <x v="55"/>
      <x v="25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8" hier="-1"/>
  </pageFields>
  <dataFields count="3">
    <dataField name="Nombre de Matricule" fld="0" subtotal="count" baseField="9" baseItem="22"/>
    <dataField name="Somme de A payer" fld="14" baseField="0" baseItem="0"/>
    <dataField name="Somme de Payé" fld="15" baseField="0" baseItem="0"/>
  </dataFields>
  <formats count="1">
    <format dxfId="51">
      <pivotArea outline="0" fieldPosition="0">
        <references count="3">
          <reference field="4294967294" count="1" selected="0">
            <x v="1"/>
          </reference>
          <reference field="9" count="23" selected="0">
            <x v="10"/>
            <x v="22"/>
            <x v="23"/>
            <x v="29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</reference>
          <reference field="11" count="11" selected="0">
            <x v="1"/>
            <x v="2"/>
            <x v="3"/>
            <x v="12"/>
            <x v="13"/>
            <x v="15"/>
            <x v="16"/>
            <x v="17"/>
            <x v="18"/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35E5D1-6F8F-4C91-A68B-A733935DC413}" name="Tableau croisé dynamique2" cacheId="7" applyNumberFormats="0" applyBorderFormats="0" applyFontFormats="0" applyPatternFormats="0" applyAlignmentFormats="0" applyWidthHeightFormats="1" dataCaption="Valeurs" updatedVersion="8" minRefreshableVersion="3" showDataTips="0" useAutoFormatting="1" itemPrintTitles="1" createdVersion="8" indent="0" compact="0" compactData="0" gridDropZones="1" multipleFieldFilters="0">
  <location ref="A3:G5" firstHeaderRow="1" firstDataRow="2" firstDataCol="3"/>
  <pivotFields count="23">
    <pivotField compact="0" numFmtId="167" outline="0" showAll="0"/>
    <pivotField axis="axisRow" compact="0" outline="0" showAll="0" defaultSubtotal="0">
      <items count="468">
        <item m="1" x="86"/>
        <item m="1" x="140"/>
        <item m="1" x="266"/>
        <item m="1" x="295"/>
        <item m="1" x="145"/>
        <item m="1" x="82"/>
        <item m="1" x="425"/>
        <item m="1" x="177"/>
        <item m="1" x="413"/>
        <item m="1" x="365"/>
        <item m="1" x="11"/>
        <item m="1" x="98"/>
        <item m="1" x="131"/>
        <item m="1" x="284"/>
        <item m="1" x="260"/>
        <item m="1" x="372"/>
        <item m="1" x="57"/>
        <item m="1" x="277"/>
        <item m="1" x="464"/>
        <item m="1" x="46"/>
        <item m="1" x="154"/>
        <item m="1" x="31"/>
        <item m="1" x="142"/>
        <item m="1" x="167"/>
        <item m="1" x="48"/>
        <item m="1" x="42"/>
        <item m="1" x="410"/>
        <item m="1" x="215"/>
        <item m="1" x="32"/>
        <item m="1" x="305"/>
        <item m="1" x="218"/>
        <item m="1" x="39"/>
        <item m="1" x="418"/>
        <item m="1" x="452"/>
        <item m="1" x="17"/>
        <item m="1" x="124"/>
        <item m="1" x="466"/>
        <item m="1" x="35"/>
        <item m="1" x="74"/>
        <item m="1" x="392"/>
        <item m="1" x="382"/>
        <item m="1" x="289"/>
        <item m="1" x="202"/>
        <item m="1" x="431"/>
        <item m="1" x="359"/>
        <item m="1" x="212"/>
        <item m="1" x="195"/>
        <item m="1" x="332"/>
        <item m="1" x="402"/>
        <item m="1" x="244"/>
        <item m="1" x="78"/>
        <item m="1" x="395"/>
        <item m="1" x="104"/>
        <item m="1" x="203"/>
        <item m="1" x="304"/>
        <item m="1" x="58"/>
        <item m="1" x="465"/>
        <item m="1" x="364"/>
        <item m="1" x="459"/>
        <item m="1" x="34"/>
        <item m="1" x="163"/>
        <item m="1" x="159"/>
        <item m="1" x="269"/>
        <item m="1" x="4"/>
        <item m="1" x="178"/>
        <item m="1" x="360"/>
        <item m="1" x="115"/>
        <item m="1" x="433"/>
        <item m="1" x="52"/>
        <item m="1" x="330"/>
        <item m="1" x="206"/>
        <item m="1" x="5"/>
        <item m="1" x="176"/>
        <item m="1" x="90"/>
        <item m="1" x="397"/>
        <item m="1" x="29"/>
        <item m="1" x="185"/>
        <item m="1" x="356"/>
        <item m="1" x="204"/>
        <item m="1" x="143"/>
        <item m="1" x="258"/>
        <item m="1" x="64"/>
        <item m="1" x="460"/>
        <item m="1" x="92"/>
        <item m="1" x="423"/>
        <item m="1" x="33"/>
        <item m="1" x="256"/>
        <item m="1" x="7"/>
        <item m="1" x="446"/>
        <item m="1" x="146"/>
        <item m="1" x="147"/>
        <item m="1" x="141"/>
        <item m="1" x="134"/>
        <item m="1" x="190"/>
        <item m="1" x="341"/>
        <item m="1" x="445"/>
        <item m="1" x="350"/>
        <item m="1" x="374"/>
        <item m="1" x="378"/>
        <item m="1" x="116"/>
        <item m="1" x="456"/>
        <item m="1" x="235"/>
        <item m="1" x="246"/>
        <item m="1" x="168"/>
        <item m="1" x="368"/>
        <item m="1" x="56"/>
        <item m="1" x="285"/>
        <item m="1" x="99"/>
        <item m="1" x="254"/>
        <item m="1" x="75"/>
        <item m="1" x="401"/>
        <item m="1" x="207"/>
        <item m="1" x="3"/>
        <item m="1" x="213"/>
        <item m="1" x="229"/>
        <item m="1" x="196"/>
        <item m="1" x="109"/>
        <item m="1" x="325"/>
        <item m="1" x="273"/>
        <item m="1" x="436"/>
        <item m="1" x="274"/>
        <item m="1" x="448"/>
        <item m="1" x="230"/>
        <item m="1" x="22"/>
        <item m="1" x="111"/>
        <item m="1" x="343"/>
        <item m="1" x="87"/>
        <item m="1" x="88"/>
        <item m="1" x="261"/>
        <item m="1" x="293"/>
        <item m="1" x="322"/>
        <item m="1" x="334"/>
        <item m="1" x="353"/>
        <item m="1" x="128"/>
        <item m="1" x="80"/>
        <item m="1" x="40"/>
        <item m="1" x="169"/>
        <item m="1" x="336"/>
        <item m="1" x="138"/>
        <item m="1" x="363"/>
        <item m="1" x="175"/>
        <item m="1" x="323"/>
        <item m="1" x="316"/>
        <item m="1" x="227"/>
        <item m="1" x="53"/>
        <item m="1" x="248"/>
        <item m="1" x="381"/>
        <item m="1" x="81"/>
        <item m="1" x="101"/>
        <item m="1" x="279"/>
        <item m="1" x="85"/>
        <item m="1" x="117"/>
        <item m="1" x="259"/>
        <item m="1" x="301"/>
        <item m="1" x="224"/>
        <item m="1" x="127"/>
        <item m="1" x="324"/>
        <item m="1" x="157"/>
        <item m="1" x="270"/>
        <item m="1" x="443"/>
        <item m="1" x="337"/>
        <item m="1" x="97"/>
        <item m="1" x="66"/>
        <item m="1" x="375"/>
        <item m="1" x="299"/>
        <item m="1" x="198"/>
        <item m="1" x="291"/>
        <item m="1" x="107"/>
        <item m="1" x="189"/>
        <item m="1" x="26"/>
        <item m="1" x="129"/>
        <item m="1" x="253"/>
        <item m="1" x="435"/>
        <item m="1" x="62"/>
        <item m="1" x="96"/>
        <item m="1" x="391"/>
        <item m="1" x="112"/>
        <item m="1" x="201"/>
        <item m="1" x="272"/>
        <item m="1" x="257"/>
        <item m="1" x="170"/>
        <item m="1" x="430"/>
        <item m="1" x="251"/>
        <item m="1" x="314"/>
        <item m="1" x="366"/>
        <item m="1" x="249"/>
        <item m="1" x="454"/>
        <item m="1" x="344"/>
        <item m="1" x="205"/>
        <item m="1" x="437"/>
        <item m="1" x="233"/>
        <item m="1" x="335"/>
        <item m="1" x="118"/>
        <item m="1" x="416"/>
        <item m="1" x="79"/>
        <item m="1" x="387"/>
        <item m="1" x="367"/>
        <item m="1" x="125"/>
        <item m="1" x="25"/>
        <item m="1" x="38"/>
        <item m="1" x="95"/>
        <item m="1" x="108"/>
        <item m="1" x="420"/>
        <item m="1" x="303"/>
        <item m="1" x="94"/>
        <item m="1" x="311"/>
        <item m="1" x="333"/>
        <item m="1" x="355"/>
        <item m="1" x="43"/>
        <item m="1" x="282"/>
        <item m="1" x="136"/>
        <item m="1" x="412"/>
        <item m="1" x="153"/>
        <item m="1" x="283"/>
        <item m="1" x="414"/>
        <item m="1" x="174"/>
        <item m="1" x="161"/>
        <item m="1" x="197"/>
        <item m="1" x="439"/>
        <item m="1" x="320"/>
        <item m="1" x="432"/>
        <item m="1" x="296"/>
        <item m="1" x="135"/>
        <item m="1" x="76"/>
        <item m="1" x="72"/>
        <item m="1" x="369"/>
        <item m="1" x="428"/>
        <item m="1" x="19"/>
        <item m="1" x="103"/>
        <item m="1" x="9"/>
        <item m="1" x="121"/>
        <item m="1" x="36"/>
        <item m="1" x="139"/>
        <item m="1" x="12"/>
        <item m="1" x="164"/>
        <item m="1" x="245"/>
        <item m="1" x="383"/>
        <item m="1" x="340"/>
        <item m="1" x="61"/>
        <item m="1" x="255"/>
        <item m="1" x="302"/>
        <item m="1" x="419"/>
        <item m="1" x="200"/>
        <item m="1" x="319"/>
        <item m="1" x="223"/>
        <item m="1" x="321"/>
        <item m="1" x="181"/>
        <item m="1" x="180"/>
        <item m="1" x="247"/>
        <item m="1" x="399"/>
        <item m="1" x="390"/>
        <item m="1" x="347"/>
        <item m="1" x="281"/>
        <item m="1" x="263"/>
        <item m="1" x="173"/>
        <item m="1" x="461"/>
        <item m="1" x="271"/>
        <item m="1" x="24"/>
        <item m="1" x="77"/>
        <item m="1" x="54"/>
        <item m="1" x="162"/>
        <item m="1" x="308"/>
        <item m="1" x="406"/>
        <item m="1" x="389"/>
        <item m="1" x="60"/>
        <item m="1" x="280"/>
        <item m="1" x="339"/>
        <item m="1" x="71"/>
        <item m="1" x="232"/>
        <item m="1" x="442"/>
        <item m="1" x="160"/>
        <item m="1" x="172"/>
        <item m="1" x="357"/>
        <item m="1" x="221"/>
        <item m="1" x="106"/>
        <item m="1" x="351"/>
        <item m="1" x="354"/>
        <item m="1" x="408"/>
        <item m="1" x="210"/>
        <item m="1" x="309"/>
        <item m="1" x="417"/>
        <item m="1" x="462"/>
        <item m="1" x="315"/>
        <item m="1" x="225"/>
        <item m="1" x="37"/>
        <item m="1" x="362"/>
        <item m="1" x="41"/>
        <item m="1" x="199"/>
        <item m="1" x="214"/>
        <item m="1" x="55"/>
        <item m="1" x="69"/>
        <item m="1" x="326"/>
        <item m="1" x="376"/>
        <item m="1" x="409"/>
        <item m="1" x="13"/>
        <item m="1" x="243"/>
        <item m="1" x="290"/>
        <item m="1" x="384"/>
        <item m="1" x="306"/>
        <item m="1" x="228"/>
        <item m="1" x="151"/>
        <item m="1" x="222"/>
        <item m="1" x="50"/>
        <item m="1" x="219"/>
        <item m="1" x="297"/>
        <item m="1" x="370"/>
        <item m="1" x="385"/>
        <item m="1" x="358"/>
        <item m="1" x="429"/>
        <item m="1" x="453"/>
        <item m="1" x="14"/>
        <item m="1" x="122"/>
        <item m="1" x="149"/>
        <item m="1" x="237"/>
        <item m="1" x="186"/>
        <item m="1" x="239"/>
        <item m="1" x="422"/>
        <item m="1" x="226"/>
        <item m="1" x="110"/>
        <item m="1" x="84"/>
        <item m="1" x="404"/>
        <item m="1" x="83"/>
        <item m="1" x="49"/>
        <item m="1" x="114"/>
        <item m="1" x="126"/>
        <item m="1" x="211"/>
        <item m="1" x="171"/>
        <item m="1" x="193"/>
        <item m="1" x="441"/>
        <item m="1" x="349"/>
        <item m="1" x="187"/>
        <item m="1" x="307"/>
        <item m="1" x="100"/>
        <item m="1" x="265"/>
        <item m="1" x="447"/>
        <item m="1" x="16"/>
        <item m="1" x="209"/>
        <item m="1" x="105"/>
        <item m="1" x="294"/>
        <item m="1" x="2"/>
        <item m="1" x="93"/>
        <item m="1" x="148"/>
        <item m="1" x="89"/>
        <item m="1" x="250"/>
        <item m="1" x="182"/>
        <item m="1" x="386"/>
        <item m="1" x="411"/>
        <item m="1" x="377"/>
        <item m="1" x="220"/>
        <item m="1" x="327"/>
        <item m="1" x="292"/>
        <item m="1" x="267"/>
        <item m="1" x="463"/>
        <item m="1" x="241"/>
        <item m="1" x="310"/>
        <item m="1" x="179"/>
        <item m="1" x="208"/>
        <item m="1" x="65"/>
        <item m="1" x="287"/>
        <item m="1" x="132"/>
        <item m="1" x="236"/>
        <item m="1" x="342"/>
        <item m="1" x="450"/>
        <item m="1" x="23"/>
        <item m="1" x="242"/>
        <item m="1" x="192"/>
        <item m="1" x="119"/>
        <item m="1" x="338"/>
        <item m="1" x="457"/>
        <item m="1" x="240"/>
        <item m="1" x="150"/>
        <item m="1" x="156"/>
        <item m="1" x="152"/>
        <item m="1" x="231"/>
        <item m="1" x="165"/>
        <item m="1" x="451"/>
        <item m="1" x="379"/>
        <item m="1" x="424"/>
        <item m="1" x="133"/>
        <item m="1" x="426"/>
        <item m="1" x="21"/>
        <item m="1" x="449"/>
        <item m="1" x="348"/>
        <item m="1" x="434"/>
        <item m="1" x="458"/>
        <item m="1" x="300"/>
        <item m="1" x="352"/>
        <item m="1" x="217"/>
        <item m="1" x="10"/>
        <item m="1" x="380"/>
        <item m="1" x="73"/>
        <item m="1" x="331"/>
        <item m="1" x="346"/>
        <item m="1" x="51"/>
        <item m="1" x="123"/>
        <item m="1" x="440"/>
        <item m="1" x="415"/>
        <item m="1" x="155"/>
        <item m="1" x="194"/>
        <item m="1" x="394"/>
        <item m="1" x="1"/>
        <item m="1" x="234"/>
        <item m="1" x="20"/>
        <item m="1" x="113"/>
        <item m="1" x="288"/>
        <item m="1" x="373"/>
        <item m="1" x="317"/>
        <item m="1" x="8"/>
        <item m="1" x="405"/>
        <item m="1" x="388"/>
        <item m="1" x="427"/>
        <item m="1" x="45"/>
        <item m="1" x="68"/>
        <item m="1" x="216"/>
        <item m="1" x="70"/>
        <item m="1" x="30"/>
        <item m="1" x="28"/>
        <item m="1" x="328"/>
        <item m="1" x="188"/>
        <item m="1" x="15"/>
        <item m="1" x="345"/>
        <item m="1" x="44"/>
        <item m="1" x="438"/>
        <item m="1" x="130"/>
        <item m="1" x="18"/>
        <item m="1" x="400"/>
        <item m="1" x="298"/>
        <item m="1" x="158"/>
        <item m="1" x="393"/>
        <item m="1" x="276"/>
        <item m="1" x="6"/>
        <item m="1" x="137"/>
        <item m="1" x="63"/>
        <item m="1" x="403"/>
        <item m="1" x="313"/>
        <item m="1" x="268"/>
        <item m="1" x="191"/>
        <item m="1" x="102"/>
        <item m="1" x="59"/>
        <item m="1" x="407"/>
        <item m="1" x="238"/>
        <item m="1" x="27"/>
        <item m="1" x="371"/>
        <item m="1" x="286"/>
        <item m="1" x="252"/>
        <item m="1" x="264"/>
        <item m="1" x="184"/>
        <item m="1" x="444"/>
        <item m="1" x="455"/>
        <item m="1" x="278"/>
        <item m="1" x="329"/>
        <item m="1" x="183"/>
        <item m="1" x="120"/>
        <item m="1" x="421"/>
        <item m="1" x="144"/>
        <item m="1" x="396"/>
        <item m="1" x="312"/>
        <item m="1" x="275"/>
        <item m="1" x="467"/>
        <item m="1" x="318"/>
        <item m="1" x="166"/>
        <item m="1" x="47"/>
        <item m="1" x="361"/>
        <item m="1" x="262"/>
        <item m="1" x="67"/>
        <item m="1" x="398"/>
        <item m="1" x="91"/>
        <item x="0"/>
      </items>
    </pivotField>
    <pivotField axis="axisRow" compact="0" outline="0" showAll="0">
      <items count="344">
        <item m="1" x="306"/>
        <item m="1" x="164"/>
        <item m="1" x="275"/>
        <item m="1" x="166"/>
        <item m="1" x="58"/>
        <item m="1" x="199"/>
        <item m="1" x="320"/>
        <item m="1" x="139"/>
        <item m="1" x="246"/>
        <item m="1" x="247"/>
        <item m="1" x="108"/>
        <item m="1" x="315"/>
        <item m="1" x="15"/>
        <item m="1" x="156"/>
        <item m="1" x="325"/>
        <item m="1" x="122"/>
        <item m="1" x="231"/>
        <item m="1" x="229"/>
        <item m="1" x="338"/>
        <item m="1" x="104"/>
        <item m="1" x="85"/>
        <item m="1" x="266"/>
        <item m="1" x="1"/>
        <item m="1" x="119"/>
        <item m="1" x="14"/>
        <item m="1" x="268"/>
        <item m="1" x="330"/>
        <item m="1" x="227"/>
        <item m="1" x="116"/>
        <item m="1" x="190"/>
        <item m="1" x="124"/>
        <item m="1" x="133"/>
        <item m="1" x="249"/>
        <item m="1" x="225"/>
        <item m="1" x="321"/>
        <item m="1" x="143"/>
        <item m="1" x="257"/>
        <item m="1" x="48"/>
        <item m="1" x="223"/>
        <item m="1" x="280"/>
        <item m="1" x="173"/>
        <item m="1" x="153"/>
        <item m="1" x="213"/>
        <item m="1" x="334"/>
        <item m="1" x="29"/>
        <item m="1" x="193"/>
        <item m="1" x="32"/>
        <item m="1" x="261"/>
        <item m="1" x="86"/>
        <item m="1" x="53"/>
        <item m="1" x="70"/>
        <item m="1" x="80"/>
        <item m="1" x="296"/>
        <item m="1" x="298"/>
        <item m="1" x="270"/>
        <item m="1" x="110"/>
        <item m="1" x="145"/>
        <item m="1" x="200"/>
        <item m="1" x="292"/>
        <item m="1" x="62"/>
        <item m="1" x="172"/>
        <item m="1" x="222"/>
        <item m="1" x="101"/>
        <item m="1" x="95"/>
        <item m="1" x="324"/>
        <item m="1" x="310"/>
        <item m="1" x="272"/>
        <item m="1" x="221"/>
        <item m="1" x="106"/>
        <item m="1" x="182"/>
        <item m="1" x="273"/>
        <item m="1" x="333"/>
        <item m="1" x="33"/>
        <item m="1" x="142"/>
        <item m="1" x="163"/>
        <item m="1" x="276"/>
        <item m="1" x="255"/>
        <item m="1" x="3"/>
        <item m="1" x="168"/>
        <item m="1" x="195"/>
        <item m="1" x="78"/>
        <item m="1" x="141"/>
        <item m="1" x="337"/>
        <item m="1" x="171"/>
        <item m="1" x="79"/>
        <item m="1" x="202"/>
        <item m="1" x="36"/>
        <item m="1" x="19"/>
        <item m="1" x="244"/>
        <item m="1" x="91"/>
        <item m="1" x="20"/>
        <item m="1" x="35"/>
        <item m="1" x="121"/>
        <item m="1" x="179"/>
        <item m="1" x="204"/>
        <item m="1" x="288"/>
        <item m="1" x="220"/>
        <item m="1" x="252"/>
        <item m="1" x="132"/>
        <item m="1" x="313"/>
        <item m="1" x="191"/>
        <item m="1" x="47"/>
        <item m="1" x="253"/>
        <item m="1" x="250"/>
        <item m="1" x="248"/>
        <item m="1" x="6"/>
        <item m="1" x="126"/>
        <item m="1" x="43"/>
        <item m="1" x="5"/>
        <item m="1" x="241"/>
        <item m="1" x="339"/>
        <item m="1" x="83"/>
        <item m="1" x="224"/>
        <item m="1" x="297"/>
        <item m="1" x="314"/>
        <item m="1" x="311"/>
        <item m="1" x="258"/>
        <item m="1" x="196"/>
        <item m="1" x="318"/>
        <item m="1" x="113"/>
        <item m="1" x="212"/>
        <item m="1" x="100"/>
        <item m="1" x="236"/>
        <item m="1" x="72"/>
        <item m="1" x="37"/>
        <item m="1" x="279"/>
        <item m="1" x="155"/>
        <item m="1" x="149"/>
        <item m="1" x="287"/>
        <item m="1" x="233"/>
        <item m="1" x="30"/>
        <item m="1" x="319"/>
        <item m="1" x="340"/>
        <item m="1" x="184"/>
        <item m="1" x="162"/>
        <item m="1" x="211"/>
        <item m="1" x="73"/>
        <item m="1" x="341"/>
        <item m="1" x="198"/>
        <item m="1" x="183"/>
        <item m="1" x="335"/>
        <item m="1" x="201"/>
        <item m="1" x="218"/>
        <item m="1" x="210"/>
        <item m="1" x="46"/>
        <item m="1" x="278"/>
        <item m="1" x="38"/>
        <item m="1" x="264"/>
        <item m="1" x="208"/>
        <item m="1" x="51"/>
        <item m="1" x="309"/>
        <item m="1" x="269"/>
        <item m="1" x="238"/>
        <item m="1" x="332"/>
        <item m="1" x="84"/>
        <item m="1" x="235"/>
        <item m="1" x="66"/>
        <item m="1" x="219"/>
        <item m="1" x="129"/>
        <item m="1" x="23"/>
        <item m="1" x="154"/>
        <item m="1" x="232"/>
        <item m="1" x="291"/>
        <item m="1" x="69"/>
        <item m="1" x="239"/>
        <item m="1" x="117"/>
        <item m="1" x="56"/>
        <item m="1" x="176"/>
        <item m="1" x="34"/>
        <item m="1" x="301"/>
        <item m="1" x="178"/>
        <item m="1" x="251"/>
        <item m="1" x="150"/>
        <item m="1" x="144"/>
        <item m="1" x="216"/>
        <item m="1" x="295"/>
        <item m="1" x="262"/>
        <item m="1" x="57"/>
        <item m="1" x="136"/>
        <item m="1" x="127"/>
        <item m="1" x="13"/>
        <item m="1" x="256"/>
        <item m="1" x="109"/>
        <item m="1" x="148"/>
        <item m="1" x="209"/>
        <item m="1" x="245"/>
        <item m="1" x="294"/>
        <item m="1" x="4"/>
        <item m="1" x="61"/>
        <item m="1" x="323"/>
        <item m="1" x="102"/>
        <item m="1" x="289"/>
        <item m="1" x="60"/>
        <item m="1" x="242"/>
        <item m="1" x="10"/>
        <item m="1" x="328"/>
        <item m="1" x="135"/>
        <item m="1" x="112"/>
        <item m="1" x="42"/>
        <item m="1" x="185"/>
        <item m="1" x="263"/>
        <item m="1" x="125"/>
        <item m="1" x="228"/>
        <item m="1" x="28"/>
        <item m="1" x="214"/>
        <item m="1" x="98"/>
        <item m="1" x="55"/>
        <item m="1" x="27"/>
        <item m="1" x="114"/>
        <item m="1" x="206"/>
        <item m="1" x="105"/>
        <item m="1" x="282"/>
        <item m="1" x="203"/>
        <item m="1" x="52"/>
        <item m="1" x="59"/>
        <item m="1" x="217"/>
        <item m="1" x="284"/>
        <item m="1" x="134"/>
        <item m="1" x="205"/>
        <item m="1" x="2"/>
        <item m="1" x="307"/>
        <item m="1" x="303"/>
        <item m="1" x="77"/>
        <item m="1" x="165"/>
        <item m="1" x="167"/>
        <item m="1" x="305"/>
        <item m="1" x="243"/>
        <item m="1" x="237"/>
        <item m="1" x="180"/>
        <item m="1" x="215"/>
        <item m="1" x="151"/>
        <item m="1" x="316"/>
        <item m="1" x="41"/>
        <item m="1" x="88"/>
        <item m="1" x="54"/>
        <item m="1" x="138"/>
        <item m="1" x="181"/>
        <item m="1" x="40"/>
        <item m="1" x="187"/>
        <item m="1" x="308"/>
        <item m="1" x="137"/>
        <item m="1" x="259"/>
        <item m="1" x="65"/>
        <item m="1" x="12"/>
        <item m="1" x="317"/>
        <item m="1" x="63"/>
        <item m="1" x="76"/>
        <item m="1" x="286"/>
        <item m="1" x="329"/>
        <item m="1" x="240"/>
        <item m="1" x="267"/>
        <item m="1" x="130"/>
        <item m="1" x="21"/>
        <item m="1" x="123"/>
        <item m="1" x="281"/>
        <item m="1" x="89"/>
        <item m="1" x="45"/>
        <item m="1" x="260"/>
        <item m="1" x="94"/>
        <item m="1" x="140"/>
        <item m="1" x="97"/>
        <item m="1" x="131"/>
        <item m="1" x="342"/>
        <item m="1" x="147"/>
        <item m="1" x="274"/>
        <item m="1" x="157"/>
        <item m="1" x="92"/>
        <item m="1" x="254"/>
        <item m="1" x="293"/>
        <item m="1" x="207"/>
        <item m="1" x="120"/>
        <item m="1" x="24"/>
        <item m="1" x="75"/>
        <item m="1" x="31"/>
        <item m="1" x="93"/>
        <item m="1" x="161"/>
        <item m="1" x="96"/>
        <item m="1" x="283"/>
        <item m="1" x="128"/>
        <item m="1" x="312"/>
        <item m="1" x="177"/>
        <item m="1" x="18"/>
        <item m="1" x="17"/>
        <item m="1" x="327"/>
        <item m="1" x="159"/>
        <item m="1" x="326"/>
        <item m="1" x="175"/>
        <item m="1" x="103"/>
        <item m="1" x="8"/>
        <item m="1" x="271"/>
        <item m="1" x="170"/>
        <item m="1" x="304"/>
        <item m="1" x="285"/>
        <item m="1" x="192"/>
        <item m="1" x="7"/>
        <item m="1" x="174"/>
        <item m="1" x="39"/>
        <item m="1" x="160"/>
        <item m="1" x="265"/>
        <item m="1" x="74"/>
        <item m="1" x="71"/>
        <item m="1" x="64"/>
        <item m="1" x="302"/>
        <item m="1" x="25"/>
        <item m="1" x="111"/>
        <item m="1" x="67"/>
        <item m="1" x="194"/>
        <item m="1" x="87"/>
        <item m="1" x="50"/>
        <item m="1" x="290"/>
        <item m="1" x="26"/>
        <item m="1" x="169"/>
        <item m="1" x="299"/>
        <item m="1" x="331"/>
        <item m="1" x="49"/>
        <item m="1" x="16"/>
        <item m="1" x="44"/>
        <item m="1" x="322"/>
        <item m="1" x="230"/>
        <item m="1" x="118"/>
        <item m="1" x="188"/>
        <item m="1" x="158"/>
        <item m="1" x="152"/>
        <item m="1" x="81"/>
        <item m="1" x="226"/>
        <item m="1" x="186"/>
        <item m="1" x="22"/>
        <item m="1" x="82"/>
        <item m="1" x="9"/>
        <item m="1" x="107"/>
        <item m="1" x="197"/>
        <item m="1" x="336"/>
        <item m="1" x="234"/>
        <item m="1" x="90"/>
        <item m="1" x="115"/>
        <item m="1" x="11"/>
        <item m="1" x="99"/>
        <item m="1" x="189"/>
        <item m="1" x="68"/>
        <item m="1" x="146"/>
        <item m="1" x="277"/>
        <item m="1" x="300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65" outline="0" showAll="0"/>
    <pivotField dataField="1" compact="0" outline="0" showAll="0"/>
    <pivotField compact="0" outline="0" showAll="0"/>
    <pivotField compact="0" outline="0" showAll="0"/>
    <pivotField dataField="1" compact="0" numFmtId="165" outline="0" showAll="0"/>
    <pivotField axis="axisRow" compact="0" outline="0" showAll="0">
      <items count="35">
        <item m="1" x="26"/>
        <item m="1" x="12"/>
        <item m="1" x="19"/>
        <item m="1" x="23"/>
        <item m="1" x="24"/>
        <item m="1" x="11"/>
        <item m="1" x="14"/>
        <item m="1" x="10"/>
        <item m="1" x="8"/>
        <item m="1" x="5"/>
        <item m="1" x="13"/>
        <item m="1" x="6"/>
        <item m="1" x="21"/>
        <item m="1" x="3"/>
        <item m="1" x="20"/>
        <item m="1" x="16"/>
        <item m="1" x="2"/>
        <item m="1" x="25"/>
        <item h="1" x="0"/>
        <item m="1" x="1"/>
        <item m="1" x="4"/>
        <item m="1" x="7"/>
        <item m="1" x="9"/>
        <item m="1" x="15"/>
        <item m="1" x="17"/>
        <item m="1" x="18"/>
        <item m="1" x="27"/>
        <item m="1" x="28"/>
        <item m="1" x="29"/>
        <item m="1" x="30"/>
        <item m="1" x="31"/>
        <item m="1" x="32"/>
        <item m="1" x="33"/>
        <item m="1" x="22"/>
        <item t="default"/>
      </items>
    </pivotField>
    <pivotField compact="0" outline="0" showAll="0"/>
    <pivotField dataField="1" compact="0" outline="0" showAll="0"/>
    <pivotField dataField="1" compact="0" numFmtId="3" outline="0" showAll="0"/>
  </pivotFields>
  <rowFields count="3">
    <field x="19"/>
    <field x="1"/>
    <field x="2"/>
  </rowFields>
  <rowItems count="1"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 Cotisation Ecole d'été" fld="15" baseField="2" baseItem="38" numFmtId="3"/>
    <dataField name=" Paiement Ecole d'éte" fld="21" baseField="2" baseItem="38" numFmtId="3"/>
    <dataField name=" Reste à payer Ecole d'été" fld="22" baseField="2" baseItem="38" numFmtId="3"/>
    <dataField name="Reste total" fld="18" baseField="2" baseItem="38" numFmtId="3"/>
  </dataFields>
  <formats count="8">
    <format dxfId="50">
      <pivotArea field="19" type="button" dataOnly="0" labelOnly="1" outline="0" axis="axisRow" fieldPosition="0"/>
    </format>
    <format dxfId="49">
      <pivotArea field="1" type="button" dataOnly="0" labelOnly="1" outline="0" axis="axisRow" fieldPosition="1"/>
    </format>
    <format dxfId="48">
      <pivotArea field="2" type="button" dataOnly="0" labelOnly="1" outline="0" axis="axisRow" fieldPosition="2"/>
    </format>
    <format dxfId="4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6">
      <pivotArea outline="0" fieldPosition="0">
        <references count="1">
          <reference field="4294967294" count="1">
            <x v="0"/>
          </reference>
        </references>
      </pivotArea>
    </format>
    <format dxfId="45">
      <pivotArea outline="0" fieldPosition="0">
        <references count="1">
          <reference field="4294967294" count="1">
            <x v="1"/>
          </reference>
        </references>
      </pivotArea>
    </format>
    <format dxfId="44">
      <pivotArea outline="0" fieldPosition="0">
        <references count="1">
          <reference field="4294967294" count="1">
            <x v="2"/>
          </reference>
        </references>
      </pivotArea>
    </format>
    <format dxfId="43">
      <pivotArea outline="0" fieldPosition="0">
        <references count="1">
          <reference field="4294967294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D046AE-6942-40EB-B84F-598ABE1549CF}" name="Liste_globale" displayName="Liste_globale" ref="A1:W6" totalsRowShown="0" headerRowDxfId="42" headerRowCellStyle="Milliers">
  <tableColumns count="23">
    <tableColumn id="1" xr3:uid="{DC184DCC-CB9A-42A0-B52D-5F3E3C443450}" name="Matricule" dataDxfId="3"/>
    <tableColumn id="2" xr3:uid="{70955EEF-D4CF-4D78-84B5-E66FCE1CDB38}" name="Nom            اللقب" dataDxfId="41"/>
    <tableColumn id="3" xr3:uid="{5446B121-43D4-4502-92DA-2AA29958C180}" name="Prénom            الاسم  " dataDxfId="40"/>
    <tableColumn id="4" xr3:uid="{B68AA2D3-521A-4907-A4DE-94FD3DF266BB}" name="Date de naissance" dataDxfId="39"/>
    <tableColumn id="5" xr3:uid="{FEA9628F-718E-40BB-A191-AF6D3F802C15}" name="Sexe" dataDxfId="38"/>
    <tableColumn id="6" xr3:uid="{39AD9B2F-A6A6-40E1-8AB7-E42FE563DED1}" name="Tel 1" dataDxfId="37"/>
    <tableColumn id="7" xr3:uid="{02A2E690-862E-4F6B-AC20-F015FE7F9ABC}" name="Tel 2" dataDxfId="36"/>
    <tableColumn id="8" xr3:uid="{D7463C6F-D6D3-4DDA-B1DA-E953623BDD3D}" name="E-mail" dataDxfId="35"/>
    <tableColumn id="9" xr3:uid="{788F9869-6BF0-4E69-B4B3-71ACD7FABD1F}" name="Type" dataDxfId="34"/>
    <tableColumn id="10" xr3:uid="{2495AE10-93D8-4B46-B7C6-ACC40968D3C5}" name="ID Groupe" dataDxfId="33"/>
    <tableColumn id="11" xr3:uid="{007EE831-066E-448E-AD53-E115E2623409}" name="Groupe" dataDxfId="32"/>
    <tableColumn id="12" xr3:uid="{64ED073F-E9FF-4819-B387-A13434BA35CA}" name="Entraineur" dataDxfId="31"/>
    <tableColumn id="13" xr3:uid="{09FF1F68-D680-46D5-A6C6-F2A01AFAE014}" name="Cotisation" dataDxfId="30" dataCellStyle="Milliers"/>
    <tableColumn id="14" xr3:uid="{5621737F-4F0A-4617-85EB-300E879A57E7}" name="Remise" dataDxfId="29" dataCellStyle="Pourcentage"/>
    <tableColumn id="23" xr3:uid="{DF831FDD-FDE2-41E6-9990-25A03A1AD279}" name="Cotisation annuelle" dataDxfId="28" dataCellStyle="Pourcentage">
      <calculatedColumnFormula>M2-(M2*N2)</calculatedColumnFormula>
    </tableColumn>
    <tableColumn id="24" xr3:uid="{3F83D488-9404-4F43-8FB2-FF0FD9A40B6F}" name="Cotisation Ecole d'été" dataDxfId="27" dataCellStyle="Pourcentage"/>
    <tableColumn id="15" xr3:uid="{B949A712-0714-4A84-AED6-5B92D4253037}" name="A payer" dataDxfId="26" dataCellStyle="Milliers">
      <calculatedColumnFormula>Liste_globale[[#This Row],[Cotisation annuelle]]+Liste_globale[[#This Row],[Cotisation Ecole d''été]]</calculatedColumnFormula>
    </tableColumn>
    <tableColumn id="16" xr3:uid="{0C05EAC0-DE5B-4C69-886C-DAFDBBA0763C}" name="Payé" dataDxfId="25" dataCellStyle="Milliers">
      <calculatedColumnFormula>SUMIF('Liste carnet encaiss'!E:E,Liste_globale[[#This Row],[Matricule]],'Liste carnet encaiss'!H:H)</calculatedColumnFormula>
    </tableColumn>
    <tableColumn id="17" xr3:uid="{99B79189-03F6-4881-88A8-CEE35348D6D0}" name="Reste" dataDxfId="24" dataCellStyle="Milliers">
      <calculatedColumnFormula>Q2-R2</calculatedColumnFormula>
    </tableColumn>
    <tableColumn id="21" xr3:uid="{10C04D31-36D0-4586-A5C9-25A7B36C1F5B}" name="Groupe Ecole d'été" dataDxfId="23"/>
    <tableColumn id="22" xr3:uid="{A83DAC26-0A36-4129-B446-7610E25565EB}" name="Appel 3" dataDxfId="22"/>
    <tableColumn id="18" xr3:uid="{AC7FFC98-B35F-4094-937C-210D3BE209B2}" name="Paiement Ecole d'éte" dataDxfId="21"/>
    <tableColumn id="19" xr3:uid="{A30E9195-CE08-4B56-8D3D-EB2E7DF92816}" name="Rest à payer Ecole d'été" dataDxfId="20">
      <calculatedColumnFormula>Liste_globale[[#This Row],[Cotisation Ecole d''été]]-Liste_globale[[#This Row],[Paiement Ecole d''éte]]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C322EA-293E-429D-9A10-41464BC49DB3}" name="Tableau4" displayName="Tableau4" ref="A1:M6" totalsRowShown="0">
  <tableColumns count="13">
    <tableColumn id="1" xr3:uid="{9BF38A37-0068-482E-86DA-20E1303FC2CF}" name="Carnet" dataDxfId="2">
      <calculatedColumnFormula>ROUNDUP(B2/50,0)</calculatedColumnFormula>
    </tableColumn>
    <tableColumn id="2" xr3:uid="{71DEDBCF-B3FE-4143-B073-45DB1D6C7D9D}" name="N° " dataDxfId="19"/>
    <tableColumn id="3" xr3:uid="{F25069D6-BA00-4EDD-911B-2E01D9C16833}" name="Date" dataDxfId="18"/>
    <tableColumn id="4" xr3:uid="{2037EB5A-8EA0-46A7-B337-CA8A03CE088C}" name="Libéllé" dataDxfId="17"/>
    <tableColumn id="5" xr3:uid="{10E315E7-DCC8-4F1E-9518-530A08707E01}" name="Matricule" dataDxfId="4"/>
    <tableColumn id="6" xr3:uid="{F62CBA74-BF11-4910-87AD-EB3C4FAC64F8}" name="Nom            اللقب" dataDxfId="16"/>
    <tableColumn id="7" xr3:uid="{7E1034FD-70A9-41CF-96BE-6EF6503893E7}" name="Prénom            الاسم  " dataDxfId="15"/>
    <tableColumn id="8" xr3:uid="{4713CD82-8614-44AF-B398-729BB1FE615A}" name="Montant" dataDxfId="14"/>
    <tableColumn id="9" xr3:uid="{5B9E29EC-5DF5-46EC-BA59-FB090CF1E31C}" name="Type règlement" dataDxfId="13"/>
    <tableColumn id="10" xr3:uid="{6F46F8CD-1449-4300-8884-788409611F07}" name="N° de chèque" dataDxfId="12"/>
    <tableColumn id="11" xr3:uid="{AAF6D765-3AE9-4A94-BB88-1907018DC062}" name="Banque" dataDxfId="11"/>
    <tableColumn id="12" xr3:uid="{75328879-CEEB-4235-8491-F771F0D9E1BA}" name="Date encaissement" dataDxfId="10"/>
    <tableColumn id="13" xr3:uid="{E8FEB91C-350A-460F-8EC4-DCF1D0E0B53A}" name="Colonne1" dataDxfId="9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EC3186-C54F-413A-905F-67EC0C33AA56}" name="Tableau1" displayName="Tableau1" ref="C1:C8" totalsRowShown="0" headerRowDxfId="8" dataDxfId="7">
  <autoFilter ref="C1:C8" xr:uid="{B2EC3186-C54F-413A-905F-67EC0C33AA56}"/>
  <tableColumns count="1">
    <tableColumn id="1" xr3:uid="{F15EFDBF-9953-4281-9FDE-12E7368C257A}" name="Type" dataDxfId="6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2EA29B0-D475-4A5A-A1C4-9CF6F90697AC}" name="Tableau2" displayName="Tableau2" ref="A1:A3" totalsRowShown="0" headerRowDxfId="5">
  <autoFilter ref="A1:A3" xr:uid="{52EA29B0-D475-4A5A-A1C4-9CF6F90697AC}"/>
  <tableColumns count="1">
    <tableColumn id="1" xr3:uid="{DF15145F-472B-4A93-A791-F2D97DD3E41E}" name="Sex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27EE8-9AB5-4191-8247-F8A9B7C1949C}">
  <sheetPr codeName="Feuil8">
    <pageSetUpPr fitToPage="1"/>
  </sheetPr>
  <dimension ref="A4:E16"/>
  <sheetViews>
    <sheetView showGridLines="0" showRowColHeaders="0" tabSelected="1" workbookViewId="0">
      <selection activeCell="D14" sqref="D14"/>
    </sheetView>
  </sheetViews>
  <sheetFormatPr baseColWidth="10" defaultRowHeight="14.5" x14ac:dyDescent="0.35"/>
  <cols>
    <col min="2" max="2" width="70.7265625" customWidth="1"/>
    <col min="4" max="4" width="70.7265625" customWidth="1"/>
    <col min="8" max="8" width="10.1796875" customWidth="1"/>
    <col min="9" max="9" width="15.7265625" customWidth="1"/>
    <col min="10" max="10" width="1" customWidth="1"/>
  </cols>
  <sheetData>
    <row r="4" spans="1:5" ht="92.5" x14ac:dyDescent="2.0499999999999998">
      <c r="A4" s="242" t="s">
        <v>203</v>
      </c>
      <c r="B4" s="242"/>
      <c r="C4" s="241"/>
      <c r="D4" s="241"/>
      <c r="E4" s="241"/>
    </row>
    <row r="12" spans="1:5" ht="37.15" customHeight="1" x14ac:dyDescent="0.35">
      <c r="B12" s="265" t="s">
        <v>156</v>
      </c>
      <c r="D12" s="265" t="s">
        <v>157</v>
      </c>
    </row>
    <row r="14" spans="1:5" ht="37.15" customHeight="1" x14ac:dyDescent="0.35">
      <c r="B14" s="265" t="s">
        <v>160</v>
      </c>
      <c r="D14" s="265" t="s">
        <v>167</v>
      </c>
    </row>
    <row r="16" spans="1:5" ht="37.15" customHeight="1" x14ac:dyDescent="0.35">
      <c r="B16" s="265" t="s">
        <v>181</v>
      </c>
    </row>
  </sheetData>
  <sheetProtection sheet="1" objects="1" scenarios="1" selectLockedCells="1"/>
  <hyperlinks>
    <hyperlink ref="B12" location="Insérer_nouvel_adhérent!D7" display="INSERER UN NOUVEL ADHERENT" xr:uid="{6751E8A4-8079-4769-B0E7-8BFD166255FD}"/>
    <hyperlink ref="B14" location="'Recherche Adhérent'!D7" display="RECHERCHE ADHERENT" xr:uid="{4B561BAD-6E7D-4E62-9B94-6B8D084ED40E}"/>
    <hyperlink ref="D12" location="'Saisir un bon de recette'!Cotisation" display="SAISIR BON RECETTE" xr:uid="{575CF6B6-9E3C-4C37-A1C5-BA9C13DBF3B9}"/>
    <hyperlink ref="D14" location="'Situation paiement'!B10" display="SITUATION DE PAIEMENT ADHERENT" xr:uid="{2BA984EA-AE7A-44F0-9ACD-EBF22D388724}"/>
    <hyperlink ref="B16" location="Matricule" display="MODIFICATION DONNEES ADHERENT" xr:uid="{76D0A6C9-E417-4860-823C-150630178208}"/>
  </hyperlinks>
  <pageMargins left="0.70866141732283472" right="0.70866141732283472" top="0.74803149606299213" bottom="0.74803149606299213" header="0.31496062992125984" footer="0.31496062992125984"/>
  <pageSetup paperSize="9" scale="62" orientation="landscape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343A3-AFC0-4667-A62D-4CCEE247F4C2}">
  <sheetPr codeName="Feuil1">
    <pageSetUpPr fitToPage="1"/>
  </sheetPr>
  <dimension ref="A1:N24"/>
  <sheetViews>
    <sheetView showGridLines="0" showRowColHeaders="0" zoomScaleNormal="100" workbookViewId="0">
      <pane xSplit="12" ySplit="24" topLeftCell="Q30" activePane="bottomRight" state="frozen"/>
      <selection activeCell="A3" sqref="A3"/>
      <selection pane="topRight" activeCell="M3" sqref="M3"/>
      <selection pane="bottomLeft" activeCell="A25" sqref="A25"/>
      <selection pane="bottomRight" activeCell="D7" sqref="D7"/>
    </sheetView>
  </sheetViews>
  <sheetFormatPr baseColWidth="10" defaultColWidth="11.54296875" defaultRowHeight="14.5" x14ac:dyDescent="0.35"/>
  <cols>
    <col min="1" max="1" width="3.54296875" style="142" customWidth="1"/>
    <col min="2" max="2" width="32.7265625" style="142" customWidth="1"/>
    <col min="3" max="3" width="7.7265625" style="142" customWidth="1"/>
    <col min="4" max="4" width="41.26953125" style="142" customWidth="1"/>
    <col min="5" max="5" width="3.54296875" style="142" customWidth="1"/>
    <col min="6" max="6" width="25.54296875" style="142" customWidth="1"/>
    <col min="7" max="7" width="1.453125" style="142" customWidth="1"/>
    <col min="8" max="8" width="33.1796875" style="142" customWidth="1"/>
    <col min="9" max="9" width="9.7265625" style="142" customWidth="1"/>
    <col min="10" max="10" width="7.7265625" style="142" customWidth="1"/>
    <col min="11" max="11" width="27.26953125" style="142" customWidth="1"/>
    <col min="12" max="12" width="12.1796875" style="142" customWidth="1"/>
    <col min="13" max="13" width="11.54296875" style="142"/>
    <col min="14" max="14" width="11.54296875" style="142" customWidth="1"/>
    <col min="15" max="16384" width="11.54296875" style="142"/>
  </cols>
  <sheetData>
    <row r="1" spans="1:14" ht="9" hidden="1" customHeight="1" x14ac:dyDescent="0.35">
      <c r="A1" s="143" t="s">
        <v>30</v>
      </c>
      <c r="B1" s="144" t="s">
        <v>37</v>
      </c>
      <c r="C1" s="145" t="s">
        <v>38</v>
      </c>
      <c r="D1" s="146" t="s">
        <v>33</v>
      </c>
      <c r="E1" s="147" t="s">
        <v>42</v>
      </c>
      <c r="F1" s="148" t="s">
        <v>24</v>
      </c>
      <c r="G1" s="148" t="s">
        <v>34</v>
      </c>
      <c r="H1" s="149" t="s">
        <v>35</v>
      </c>
      <c r="I1" s="149" t="s">
        <v>36</v>
      </c>
      <c r="J1" s="149" t="s">
        <v>69</v>
      </c>
      <c r="K1" s="149" t="s">
        <v>0</v>
      </c>
      <c r="L1" s="149" t="s">
        <v>47</v>
      </c>
      <c r="M1" s="150" t="s">
        <v>25</v>
      </c>
      <c r="N1" s="151" t="s">
        <v>45</v>
      </c>
    </row>
    <row r="2" spans="1:14" ht="10.9" hidden="1" customHeight="1" x14ac:dyDescent="0.35">
      <c r="A2" s="127" t="str">
        <f>H7</f>
        <v/>
      </c>
      <c r="B2">
        <f>D11</f>
        <v>0</v>
      </c>
      <c r="C2">
        <f>D9</f>
        <v>0</v>
      </c>
      <c r="D2" s="125">
        <f>D13</f>
        <v>0</v>
      </c>
      <c r="E2">
        <f>D15</f>
        <v>0</v>
      </c>
      <c r="F2">
        <f>D19</f>
        <v>0</v>
      </c>
      <c r="G2">
        <f>D20</f>
        <v>0</v>
      </c>
      <c r="H2">
        <f>H19</f>
        <v>0</v>
      </c>
      <c r="I2">
        <f>D22</f>
        <v>0</v>
      </c>
      <c r="J2"/>
      <c r="K2">
        <f>H9</f>
        <v>0</v>
      </c>
      <c r="L2">
        <f>H11</f>
        <v>0</v>
      </c>
      <c r="M2" s="152">
        <f>H13</f>
        <v>0</v>
      </c>
      <c r="N2" s="153" t="str">
        <f>H15</f>
        <v/>
      </c>
    </row>
    <row r="3" spans="1:14" ht="8.5" customHeight="1" x14ac:dyDescent="0.35">
      <c r="A3"/>
      <c r="B3"/>
      <c r="C3"/>
      <c r="D3"/>
      <c r="E3"/>
      <c r="F3"/>
      <c r="G3"/>
      <c r="H3"/>
      <c r="I3"/>
      <c r="J3"/>
      <c r="K3"/>
      <c r="L3"/>
    </row>
    <row r="4" spans="1:14" ht="4.1500000000000004" customHeight="1" x14ac:dyDescent="0.35">
      <c r="A4"/>
      <c r="B4"/>
      <c r="C4"/>
      <c r="D4"/>
      <c r="E4"/>
      <c r="F4"/>
      <c r="G4"/>
      <c r="H4"/>
      <c r="I4"/>
      <c r="J4"/>
      <c r="K4"/>
      <c r="L4"/>
    </row>
    <row r="5" spans="1:14" ht="31" x14ac:dyDescent="0.7">
      <c r="A5"/>
      <c r="B5" s="131" t="s">
        <v>158</v>
      </c>
      <c r="C5" s="132"/>
      <c r="D5" s="132"/>
      <c r="E5" s="132"/>
      <c r="F5" s="132"/>
      <c r="G5" s="132"/>
      <c r="H5" s="132"/>
      <c r="I5"/>
      <c r="J5"/>
      <c r="K5"/>
      <c r="L5"/>
      <c r="N5" s="142">
        <f>IF(AND(Prénom&lt;&gt;"",Nom&lt;&gt;"",Naissance&lt;&gt;"",Sex&lt;&gt;"",Tel_1&lt;&gt;"",Tipo&lt;&gt;""),1,0)</f>
        <v>0</v>
      </c>
    </row>
    <row r="6" spans="1:14" ht="39.65" customHeight="1" x14ac:dyDescent="0.35">
      <c r="A6"/>
      <c r="B6"/>
      <c r="C6"/>
      <c r="D6"/>
      <c r="E6"/>
      <c r="F6"/>
      <c r="G6"/>
      <c r="H6"/>
      <c r="I6"/>
      <c r="J6"/>
      <c r="K6"/>
      <c r="L6"/>
    </row>
    <row r="7" spans="1:14" ht="22.9" customHeight="1" x14ac:dyDescent="0.5">
      <c r="A7"/>
      <c r="B7" s="133" t="s">
        <v>146</v>
      </c>
      <c r="C7" s="129"/>
      <c r="D7" s="137"/>
      <c r="E7" s="129"/>
      <c r="F7" s="133" t="s">
        <v>30</v>
      </c>
      <c r="G7" s="129"/>
      <c r="H7" s="369" t="str">
        <f>IF(D9="","",MAX('Liste gobale'!A:A)+1)</f>
        <v/>
      </c>
      <c r="I7"/>
      <c r="J7"/>
      <c r="K7"/>
      <c r="L7"/>
    </row>
    <row r="8" spans="1:14" ht="9" customHeight="1" x14ac:dyDescent="0.5">
      <c r="A8"/>
      <c r="B8" s="133"/>
      <c r="C8" s="129"/>
      <c r="D8" s="129"/>
      <c r="E8" s="129"/>
      <c r="F8" s="133"/>
      <c r="G8" s="129"/>
      <c r="H8" s="129"/>
      <c r="I8"/>
      <c r="J8"/>
      <c r="K8"/>
      <c r="L8"/>
    </row>
    <row r="9" spans="1:14" ht="22.9" customHeight="1" x14ac:dyDescent="0.5">
      <c r="A9"/>
      <c r="B9" s="133" t="s">
        <v>170</v>
      </c>
      <c r="C9" s="129"/>
      <c r="D9" s="138"/>
      <c r="E9" s="129"/>
      <c r="F9" s="133" t="s">
        <v>0</v>
      </c>
      <c r="G9" s="129"/>
      <c r="H9" s="139"/>
      <c r="I9"/>
      <c r="J9"/>
      <c r="K9"/>
      <c r="L9"/>
    </row>
    <row r="10" spans="1:14" ht="9" customHeight="1" x14ac:dyDescent="0.5">
      <c r="A10"/>
      <c r="B10" s="133"/>
      <c r="C10" s="129"/>
      <c r="D10" s="129"/>
      <c r="E10" s="129"/>
      <c r="F10" s="133"/>
      <c r="G10" s="129"/>
      <c r="H10" s="129"/>
      <c r="I10"/>
      <c r="J10"/>
      <c r="K10"/>
      <c r="L10"/>
    </row>
    <row r="11" spans="1:14" ht="22.9" customHeight="1" x14ac:dyDescent="0.5">
      <c r="A11"/>
      <c r="B11" s="133" t="s">
        <v>171</v>
      </c>
      <c r="C11" s="129"/>
      <c r="D11" s="138"/>
      <c r="E11" s="129"/>
      <c r="F11" s="133" t="s">
        <v>47</v>
      </c>
      <c r="G11" s="129"/>
      <c r="H11" s="138"/>
      <c r="I11"/>
      <c r="J11"/>
      <c r="K11"/>
      <c r="L11"/>
    </row>
    <row r="12" spans="1:14" ht="9" customHeight="1" x14ac:dyDescent="0.55000000000000004">
      <c r="A12"/>
      <c r="B12" s="134"/>
      <c r="C12" s="130"/>
      <c r="D12" s="130"/>
      <c r="E12" s="130"/>
      <c r="F12" s="134"/>
      <c r="G12" s="130"/>
      <c r="H12" s="130"/>
      <c r="I12"/>
      <c r="J12"/>
      <c r="K12"/>
      <c r="L12"/>
    </row>
    <row r="13" spans="1:14" ht="22.9" customHeight="1" x14ac:dyDescent="0.5">
      <c r="A13"/>
      <c r="B13" s="133" t="s">
        <v>174</v>
      </c>
      <c r="C13" s="129"/>
      <c r="D13" s="137"/>
      <c r="E13" s="129"/>
      <c r="F13" s="133" t="s">
        <v>172</v>
      </c>
      <c r="G13" s="129"/>
      <c r="H13" s="141"/>
      <c r="I13"/>
      <c r="J13"/>
      <c r="K13"/>
      <c r="L13"/>
    </row>
    <row r="14" spans="1:14" ht="9" customHeight="1" x14ac:dyDescent="0.5">
      <c r="A14"/>
      <c r="B14" s="133"/>
      <c r="C14" s="129"/>
      <c r="D14" s="129"/>
      <c r="E14" s="129"/>
      <c r="F14" s="133"/>
      <c r="G14" s="129"/>
      <c r="H14" s="129"/>
      <c r="I14"/>
      <c r="J14"/>
      <c r="K14"/>
      <c r="L14"/>
    </row>
    <row r="15" spans="1:14" ht="22.9" customHeight="1" x14ac:dyDescent="0.5">
      <c r="A15"/>
      <c r="B15" s="133" t="s">
        <v>175</v>
      </c>
      <c r="C15" s="129"/>
      <c r="D15" s="139"/>
      <c r="E15" s="129"/>
      <c r="F15" s="133" t="s">
        <v>45</v>
      </c>
      <c r="G15" s="129"/>
      <c r="H15" s="136" t="str">
        <f>IF(H13="","",IF(D17="Oui",10%,0%))</f>
        <v/>
      </c>
      <c r="I15"/>
      <c r="J15"/>
      <c r="K15"/>
      <c r="L15"/>
    </row>
    <row r="16" spans="1:14" ht="9" customHeight="1" x14ac:dyDescent="0.5">
      <c r="A16"/>
      <c r="B16" s="133"/>
      <c r="C16" s="129"/>
      <c r="D16" s="129"/>
      <c r="E16" s="129"/>
      <c r="F16" s="133"/>
      <c r="G16" s="129"/>
      <c r="H16" s="129"/>
      <c r="I16"/>
      <c r="J16"/>
      <c r="K16"/>
      <c r="L16"/>
    </row>
    <row r="17" spans="1:12" ht="22.9" customHeight="1" x14ac:dyDescent="0.5">
      <c r="A17"/>
      <c r="B17" s="133" t="s">
        <v>155</v>
      </c>
      <c r="C17" s="129"/>
      <c r="D17" s="139"/>
      <c r="E17" s="129"/>
      <c r="F17" s="133" t="s">
        <v>153</v>
      </c>
      <c r="G17" s="129"/>
      <c r="H17" s="135" t="str">
        <f>IFERROR(H13-(H13*H15),"")</f>
        <v/>
      </c>
      <c r="I17"/>
      <c r="J17"/>
      <c r="K17"/>
      <c r="L17"/>
    </row>
    <row r="18" spans="1:12" ht="9" customHeight="1" x14ac:dyDescent="0.55000000000000004">
      <c r="A18"/>
      <c r="B18" s="134"/>
      <c r="C18" s="130"/>
      <c r="D18" s="130"/>
      <c r="E18" s="129"/>
      <c r="F18" s="133"/>
      <c r="G18" s="129"/>
      <c r="H18" s="129"/>
      <c r="I18"/>
      <c r="J18"/>
      <c r="K18"/>
      <c r="L18"/>
    </row>
    <row r="19" spans="1:12" ht="22.9" customHeight="1" x14ac:dyDescent="0.5">
      <c r="A19"/>
      <c r="B19" s="133" t="s">
        <v>173</v>
      </c>
      <c r="C19" s="129"/>
      <c r="D19" s="140"/>
      <c r="E19" s="129"/>
      <c r="F19" s="133" t="s">
        <v>154</v>
      </c>
      <c r="G19" s="129"/>
      <c r="H19" s="138"/>
      <c r="I19"/>
      <c r="J19"/>
      <c r="K19" s="154"/>
      <c r="L19"/>
    </row>
    <row r="20" spans="1:12" ht="22.9" customHeight="1" x14ac:dyDescent="0.5">
      <c r="A20"/>
      <c r="B20" s="133" t="s">
        <v>34</v>
      </c>
      <c r="C20" s="129"/>
      <c r="D20" s="140"/>
      <c r="E20" s="129"/>
      <c r="F20" s="129"/>
      <c r="G20" s="129"/>
      <c r="H20" s="129"/>
      <c r="I20"/>
      <c r="J20"/>
      <c r="K20"/>
      <c r="L20"/>
    </row>
    <row r="21" spans="1:12" ht="9" customHeight="1" x14ac:dyDescent="0.5">
      <c r="A21"/>
      <c r="B21" s="133"/>
      <c r="C21" s="129"/>
      <c r="D21" s="129"/>
      <c r="E21" s="129"/>
      <c r="F21" s="130"/>
      <c r="G21" s="130"/>
      <c r="H21" s="130"/>
      <c r="I21"/>
      <c r="J21"/>
      <c r="K21"/>
      <c r="L21"/>
    </row>
    <row r="22" spans="1:12" ht="22.9" customHeight="1" x14ac:dyDescent="0.5">
      <c r="A22"/>
      <c r="B22" s="133" t="s">
        <v>176</v>
      </c>
      <c r="C22" s="129"/>
      <c r="D22" s="138"/>
      <c r="E22" s="129"/>
      <c r="F22" s="129"/>
      <c r="G22" s="129"/>
      <c r="H22" s="129"/>
      <c r="I22"/>
      <c r="J22"/>
      <c r="K22"/>
      <c r="L22"/>
    </row>
    <row r="23" spans="1:12" ht="33" customHeight="1" x14ac:dyDescent="0.45">
      <c r="A23"/>
      <c r="B23" s="128"/>
      <c r="C23" s="128"/>
      <c r="D23" s="128"/>
      <c r="E23" s="128"/>
      <c r="F23"/>
      <c r="G23" s="128"/>
      <c r="H23" s="128"/>
      <c r="I23"/>
      <c r="J23"/>
      <c r="K23"/>
      <c r="L23"/>
    </row>
    <row r="24" spans="1:12" ht="31.15" customHeight="1" x14ac:dyDescent="0.45">
      <c r="A24"/>
      <c r="B24"/>
      <c r="C24"/>
      <c r="D24"/>
      <c r="E24" s="128"/>
      <c r="F24" s="128"/>
      <c r="G24" s="128"/>
      <c r="H24" s="128"/>
      <c r="I24"/>
      <c r="J24"/>
      <c r="K24"/>
      <c r="L24"/>
    </row>
  </sheetData>
  <sheetProtection sheet="1" selectLockedCells="1"/>
  <dataValidations count="3">
    <dataValidation type="date" operator="lessThan" allowBlank="1" showInputMessage="1" showErrorMessage="1" sqref="D13" xr:uid="{EAC898B6-AADC-4F0B-8341-3FAECDE4FBC6}">
      <formula1>45291</formula1>
    </dataValidation>
    <dataValidation type="date" allowBlank="1" showInputMessage="1" showErrorMessage="1" sqref="D1" xr:uid="{5B3A1049-2092-4DB0-B1FA-975CB1F5E97F}">
      <formula1>1</formula1>
      <formula2>45291</formula2>
    </dataValidation>
    <dataValidation type="date" allowBlank="1" showInputMessage="1" showErrorMessage="1" error="Veuillez saisir une date comprise entre 01/01/2023 et 31/12/2023" sqref="D7" xr:uid="{AC0071E6-6C73-4578-AFF7-F516C7CEEF0B}">
      <formula1>45566</formula1>
      <formula2>46022</formula2>
    </dataValidation>
  </dataValidations>
  <pageMargins left="0.70866141732283472" right="0.70866141732283472" top="0.74803149606299213" bottom="0.74803149606299213" header="0.31496062992125984" footer="0.31496062992125984"/>
  <pageSetup paperSize="9" scale="6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2" r:id="rId4" name="Button 18">
              <controlPr defaultSize="0" print="0" autoFill="0" autoPict="0" macro="[0]!Nouvel_adhérent">
                <anchor moveWithCells="1" sizeWithCells="1">
                  <from>
                    <xdr:col>8</xdr:col>
                    <xdr:colOff>641350</xdr:colOff>
                    <xdr:row>6</xdr:row>
                    <xdr:rowOff>152400</xdr:rowOff>
                  </from>
                  <to>
                    <xdr:col>11</xdr:col>
                    <xdr:colOff>38100</xdr:colOff>
                    <xdr:row>10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63551DB-BFCD-48A7-AAE6-95B8FE40B580}">
          <x14:formula1>
            <xm:f>'Liste validation'!$A$2:$A$3</xm:f>
          </x14:formula1>
          <xm:sqref>D15</xm:sqref>
        </x14:dataValidation>
        <x14:dataValidation type="list" allowBlank="1" showInputMessage="1" showErrorMessage="1" xr:uid="{25FA96A1-1979-42E9-8D21-3B30DCA418F8}">
          <x14:formula1>
            <xm:f>'Liste validation'!$I$2:$I$3</xm:f>
          </x14:formula1>
          <xm:sqref>D17</xm:sqref>
        </x14:dataValidation>
        <x14:dataValidation type="list" allowBlank="1" showInputMessage="1" showErrorMessage="1" xr:uid="{61A83D35-35E0-4497-B562-E5593994E095}">
          <x14:formula1>
            <xm:f>OFFSET('Liste validation'!$G$2,0,0,COUNTA('Liste validation'!$G:$G)-1)</xm:f>
          </x14:formula1>
          <xm:sqref>H11</xm:sqref>
        </x14:dataValidation>
        <x14:dataValidation type="list" allowBlank="1" showInputMessage="1" showErrorMessage="1" xr:uid="{9E336330-61AC-414A-9C25-D3B60C379E05}">
          <x14:formula1>
            <xm:f>OFFSET('Liste validation'!$C$2,0,0,COUNTA('Liste validation'!$C:$C)-1)</xm:f>
          </x14:formula1>
          <xm:sqref>D22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EDC2B-6E9F-4797-AB3E-69A524B38EFC}">
  <sheetPr codeName="Feuil9">
    <pageSetUpPr fitToPage="1"/>
  </sheetPr>
  <dimension ref="A1:AC715"/>
  <sheetViews>
    <sheetView showGridLines="0" showRowColHeaders="0" topLeftCell="A3" zoomScaleNormal="100" workbookViewId="0">
      <pane ySplit="13" topLeftCell="A16" activePane="bottomLeft" state="frozen"/>
      <selection activeCell="A3" sqref="A3"/>
      <selection pane="bottomLeft" activeCell="D17" sqref="D17"/>
    </sheetView>
  </sheetViews>
  <sheetFormatPr baseColWidth="10" defaultRowHeight="14.5" x14ac:dyDescent="0.35"/>
  <cols>
    <col min="1" max="1" width="3.54296875" customWidth="1"/>
    <col min="2" max="2" width="16" style="169" customWidth="1"/>
    <col min="3" max="3" width="28.7265625" style="169" customWidth="1"/>
    <col min="4" max="4" width="24.81640625" style="169" customWidth="1"/>
    <col min="5" max="5" width="27.1796875" style="169" customWidth="1"/>
    <col min="6" max="6" width="21.26953125" customWidth="1"/>
    <col min="7" max="7" width="29.54296875" customWidth="1"/>
    <col min="8" max="8" width="3.54296875" customWidth="1"/>
    <col min="9" max="9" width="14.54296875" customWidth="1"/>
    <col min="12" max="12" width="11.54296875" customWidth="1"/>
    <col min="13" max="13" width="20.7265625" style="169" hidden="1" customWidth="1"/>
    <col min="14" max="29" width="11.54296875" style="169" hidden="1" customWidth="1"/>
    <col min="30" max="30" width="11.54296875" customWidth="1"/>
  </cols>
  <sheetData>
    <row r="1" spans="1:29" ht="22.9" hidden="1" customHeight="1" x14ac:dyDescent="0.35">
      <c r="A1" s="143" t="s">
        <v>30</v>
      </c>
      <c r="B1" s="144" t="s">
        <v>37</v>
      </c>
      <c r="C1" s="145" t="s">
        <v>38</v>
      </c>
      <c r="D1" s="146" t="s">
        <v>33</v>
      </c>
      <c r="E1" s="147" t="s">
        <v>42</v>
      </c>
      <c r="F1" s="148" t="s">
        <v>24</v>
      </c>
      <c r="G1" s="148" t="s">
        <v>34</v>
      </c>
      <c r="H1" s="149" t="s">
        <v>0</v>
      </c>
      <c r="I1" s="149" t="s">
        <v>47</v>
      </c>
      <c r="J1" s="155" t="s">
        <v>25</v>
      </c>
      <c r="K1" s="16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</row>
    <row r="2" spans="1:29" ht="25.9" hidden="1" customHeight="1" x14ac:dyDescent="0.35">
      <c r="A2" s="127" t="e">
        <f>#REF!</f>
        <v>#REF!</v>
      </c>
      <c r="B2" t="e">
        <f>#REF!</f>
        <v>#REF!</v>
      </c>
      <c r="C2" t="e">
        <f>#REF!</f>
        <v>#REF!</v>
      </c>
      <c r="D2" s="125" t="e">
        <f>#REF!</f>
        <v>#REF!</v>
      </c>
      <c r="E2" t="e">
        <f>#REF!</f>
        <v>#REF!</v>
      </c>
      <c r="F2" t="e">
        <f>#REF!</f>
        <v>#REF!</v>
      </c>
      <c r="G2" t="e">
        <f>#REF!</f>
        <v>#REF!</v>
      </c>
      <c r="H2" t="e">
        <f>#REF!</f>
        <v>#REF!</v>
      </c>
      <c r="I2" t="e">
        <f>#REF!</f>
        <v>#REF!</v>
      </c>
      <c r="J2" s="156" t="e">
        <f>#REF!</f>
        <v>#REF!</v>
      </c>
      <c r="K2" s="159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</row>
    <row r="3" spans="1:29" ht="8.5" customHeight="1" x14ac:dyDescent="0.35">
      <c r="B3"/>
      <c r="C3"/>
      <c r="D3"/>
      <c r="E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</row>
    <row r="4" spans="1:29" ht="4.1500000000000004" customHeight="1" x14ac:dyDescent="0.35">
      <c r="B4"/>
      <c r="C4"/>
      <c r="D4"/>
      <c r="E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</row>
    <row r="5" spans="1:29" ht="31" x14ac:dyDescent="0.7">
      <c r="B5" s="131" t="s">
        <v>160</v>
      </c>
      <c r="C5" s="132"/>
      <c r="D5" s="132"/>
      <c r="E5" s="132"/>
      <c r="F5" s="132"/>
      <c r="G5" s="132"/>
      <c r="H5" s="157"/>
      <c r="I5" s="157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</row>
    <row r="6" spans="1:29" ht="24.65" customHeight="1" x14ac:dyDescent="0.35">
      <c r="B6"/>
      <c r="C6"/>
      <c r="D6"/>
      <c r="E6"/>
      <c r="L6" s="1"/>
      <c r="M6" s="1"/>
      <c r="N6" s="1"/>
      <c r="O6" s="1"/>
      <c r="P6" s="1"/>
      <c r="Q6"/>
      <c r="R6"/>
      <c r="S6"/>
      <c r="T6"/>
      <c r="U6"/>
      <c r="V6"/>
      <c r="W6"/>
      <c r="X6"/>
      <c r="Y6"/>
      <c r="Z6"/>
      <c r="AA6"/>
      <c r="AB6"/>
      <c r="AC6"/>
    </row>
    <row r="7" spans="1:29" ht="22.9" customHeight="1" x14ac:dyDescent="0.5">
      <c r="B7"/>
      <c r="C7" s="133" t="s">
        <v>161</v>
      </c>
      <c r="D7"/>
      <c r="E7" s="133" t="s">
        <v>159</v>
      </c>
      <c r="G7" s="133" t="s">
        <v>33</v>
      </c>
      <c r="L7" s="1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</row>
    <row r="8" spans="1:29" ht="12.65" customHeight="1" x14ac:dyDescent="0.35">
      <c r="B8"/>
      <c r="C8"/>
      <c r="D8"/>
      <c r="E8"/>
      <c r="L8" s="1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</row>
    <row r="9" spans="1:29" ht="22.9" customHeight="1" x14ac:dyDescent="0.45">
      <c r="B9"/>
      <c r="C9" s="138"/>
      <c r="D9"/>
      <c r="E9" s="138"/>
      <c r="G9" s="160">
        <v>41005</v>
      </c>
      <c r="L9" s="1"/>
      <c r="M9" s="1"/>
      <c r="N9" s="170" t="s">
        <v>37</v>
      </c>
      <c r="O9" s="171" t="s">
        <v>38</v>
      </c>
      <c r="P9" s="172" t="s">
        <v>33</v>
      </c>
      <c r="Q9"/>
      <c r="R9"/>
      <c r="S9"/>
      <c r="T9"/>
      <c r="U9"/>
      <c r="V9"/>
      <c r="W9"/>
      <c r="X9"/>
      <c r="Y9"/>
      <c r="Z9"/>
      <c r="AA9"/>
      <c r="AB9"/>
      <c r="AC9"/>
    </row>
    <row r="10" spans="1:29" x14ac:dyDescent="0.35">
      <c r="B10"/>
      <c r="C10"/>
      <c r="D10"/>
      <c r="E10"/>
      <c r="L10" s="1"/>
      <c r="M10" s="1"/>
      <c r="N10" s="173" t="str">
        <f>IF(C9="","",C9)</f>
        <v/>
      </c>
      <c r="O10" s="173" t="str">
        <f>IF(E9="","",E9)</f>
        <v/>
      </c>
      <c r="P10" s="174">
        <f>IF(G9="","",G9)</f>
        <v>41005</v>
      </c>
      <c r="Q10"/>
      <c r="R10"/>
      <c r="S10"/>
      <c r="T10"/>
      <c r="U10"/>
      <c r="V10"/>
      <c r="W10"/>
      <c r="X10"/>
      <c r="Y10"/>
      <c r="Z10"/>
      <c r="AA10"/>
      <c r="AB10"/>
      <c r="AC10"/>
    </row>
    <row r="11" spans="1:29" x14ac:dyDescent="0.35">
      <c r="B11"/>
      <c r="C11"/>
      <c r="D11"/>
      <c r="E11"/>
      <c r="L11" s="1"/>
      <c r="M11" s="1"/>
      <c r="N11" s="1"/>
      <c r="O11" s="1"/>
      <c r="P11" s="1"/>
      <c r="Q11"/>
      <c r="R11"/>
      <c r="S11"/>
      <c r="T11"/>
      <c r="U11"/>
      <c r="V11"/>
      <c r="W11"/>
      <c r="X11"/>
      <c r="Y11"/>
      <c r="Z11"/>
      <c r="AA11"/>
      <c r="AB11"/>
      <c r="AC11"/>
    </row>
    <row r="12" spans="1:29" x14ac:dyDescent="0.35">
      <c r="B12"/>
      <c r="C12"/>
      <c r="D12"/>
      <c r="E12"/>
      <c r="L12" s="1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</row>
    <row r="13" spans="1:29" ht="9.65" customHeight="1" x14ac:dyDescent="0.35">
      <c r="B13"/>
      <c r="C13"/>
      <c r="D13"/>
      <c r="E13"/>
      <c r="L13" s="1"/>
      <c r="M13" s="122"/>
      <c r="N13" s="49"/>
      <c r="O13" s="49"/>
      <c r="P13" s="4"/>
      <c r="Q13" s="5"/>
      <c r="R13" s="3"/>
      <c r="S13" s="3"/>
      <c r="T13" s="2"/>
      <c r="U13" s="2"/>
      <c r="V13" s="2"/>
      <c r="W13" s="2"/>
      <c r="X13" s="2"/>
      <c r="Y13" s="18"/>
      <c r="Z13" s="47"/>
      <c r="AA13" s="18"/>
      <c r="AB13" s="19"/>
      <c r="AC13" s="18"/>
    </row>
    <row r="14" spans="1:29" ht="7.9" customHeight="1" x14ac:dyDescent="0.35">
      <c r="B14"/>
      <c r="C14"/>
      <c r="D14"/>
      <c r="E14"/>
      <c r="M14" s="122"/>
      <c r="N14" s="49"/>
      <c r="O14" s="51"/>
      <c r="P14" s="32"/>
      <c r="Q14" s="33"/>
      <c r="R14" s="26"/>
      <c r="S14" s="17"/>
      <c r="T14" s="34"/>
      <c r="U14" s="23"/>
      <c r="V14" s="23"/>
      <c r="W14" s="2"/>
      <c r="X14" s="2"/>
      <c r="Y14" s="18"/>
      <c r="Z14" s="46"/>
      <c r="AA14" s="18"/>
      <c r="AB14" s="18"/>
      <c r="AC14" s="18"/>
    </row>
    <row r="15" spans="1:29" ht="15.5" x14ac:dyDescent="0.35">
      <c r="B15" s="162" t="s">
        <v>30</v>
      </c>
      <c r="C15" s="163" t="s">
        <v>37</v>
      </c>
      <c r="D15" s="164" t="s">
        <v>38</v>
      </c>
      <c r="E15" s="165" t="s">
        <v>33</v>
      </c>
      <c r="F15" s="165" t="s">
        <v>168</v>
      </c>
      <c r="G15" s="165" t="s">
        <v>169</v>
      </c>
      <c r="I15" s="38"/>
      <c r="J15" s="2"/>
      <c r="K15" s="18"/>
      <c r="L15" s="46"/>
      <c r="M15" s="175" t="s">
        <v>30</v>
      </c>
      <c r="N15" s="176" t="s">
        <v>37</v>
      </c>
      <c r="O15" s="177" t="s">
        <v>38</v>
      </c>
      <c r="P15" s="178" t="s">
        <v>33</v>
      </c>
      <c r="Q15" s="179" t="s">
        <v>42</v>
      </c>
      <c r="R15" s="180" t="s">
        <v>24</v>
      </c>
      <c r="S15" s="180" t="s">
        <v>34</v>
      </c>
      <c r="T15" s="181" t="s">
        <v>35</v>
      </c>
      <c r="U15" s="181" t="s">
        <v>36</v>
      </c>
      <c r="V15" s="181" t="s">
        <v>69</v>
      </c>
      <c r="W15" s="181" t="s">
        <v>0</v>
      </c>
      <c r="X15" s="181" t="s">
        <v>47</v>
      </c>
      <c r="Y15" s="182" t="s">
        <v>25</v>
      </c>
      <c r="Z15" s="183" t="s">
        <v>45</v>
      </c>
      <c r="AA15" s="182" t="s">
        <v>46</v>
      </c>
      <c r="AB15" s="182" t="s">
        <v>32</v>
      </c>
      <c r="AC15" s="182" t="s">
        <v>26</v>
      </c>
    </row>
    <row r="16" spans="1:29" ht="15.5" x14ac:dyDescent="0.35">
      <c r="B16" s="375">
        <f t="shared" ref="B16:E16" si="0">IF(M16="","",M16)</f>
        <v>1</v>
      </c>
      <c r="C16" s="167" t="str">
        <f t="shared" si="0"/>
        <v>Abdelmaksoud</v>
      </c>
      <c r="D16" s="167" t="str">
        <f t="shared" si="0"/>
        <v>Thameur</v>
      </c>
      <c r="E16" s="168">
        <f t="shared" si="0"/>
        <v>29317</v>
      </c>
      <c r="F16" s="230">
        <f>R16</f>
        <v>28425595</v>
      </c>
      <c r="G16" s="230">
        <f>S16</f>
        <v>0</v>
      </c>
      <c r="M16" s="374">
        <v>1</v>
      </c>
      <c r="N16" s="158" t="s">
        <v>236</v>
      </c>
      <c r="O16" s="199" t="s">
        <v>235</v>
      </c>
      <c r="P16" s="200">
        <v>29317</v>
      </c>
      <c r="Q16" s="201" t="s">
        <v>43</v>
      </c>
      <c r="R16" s="195">
        <v>28425595</v>
      </c>
      <c r="S16" s="202">
        <v>0</v>
      </c>
      <c r="T16" s="203">
        <v>0</v>
      </c>
      <c r="U16" s="203" t="s">
        <v>41</v>
      </c>
      <c r="V16" s="203"/>
      <c r="W16" s="192">
        <v>0</v>
      </c>
      <c r="X16" s="192">
        <v>0</v>
      </c>
      <c r="Y16" s="190">
        <v>1900</v>
      </c>
      <c r="Z16" s="193">
        <v>0</v>
      </c>
      <c r="AA16" s="190">
        <v>1900</v>
      </c>
      <c r="AB16" s="190">
        <v>1500</v>
      </c>
      <c r="AC16" s="190">
        <v>400</v>
      </c>
    </row>
    <row r="17" spans="2:29" ht="15.5" x14ac:dyDescent="0.35">
      <c r="B17" s="375" t="str">
        <f t="shared" ref="B17:B61" si="1">IF(M17="","",M17)</f>
        <v/>
      </c>
      <c r="C17" s="167" t="str">
        <f t="shared" ref="C17:C61" si="2">IF(N17="","",N17)</f>
        <v/>
      </c>
      <c r="D17" s="167" t="str">
        <f t="shared" ref="D17:D61" si="3">IF(O17="","",O17)</f>
        <v/>
      </c>
      <c r="E17" s="168" t="str">
        <f t="shared" ref="E17:E61" si="4">IF(P17="","",P17)</f>
        <v/>
      </c>
      <c r="M17" s="329"/>
      <c r="N17" s="158"/>
      <c r="O17" s="199"/>
      <c r="P17" s="200"/>
      <c r="Q17" s="201"/>
      <c r="R17" s="208"/>
      <c r="S17" s="202"/>
      <c r="T17" s="203"/>
      <c r="U17" s="203"/>
      <c r="V17" s="203"/>
      <c r="W17" s="192"/>
      <c r="X17" s="192"/>
      <c r="Y17" s="190"/>
      <c r="Z17" s="193"/>
      <c r="AA17" s="190"/>
      <c r="AB17" s="190"/>
      <c r="AC17" s="190"/>
    </row>
    <row r="18" spans="2:29" ht="15.5" x14ac:dyDescent="0.35">
      <c r="B18" s="375" t="str">
        <f t="shared" si="1"/>
        <v/>
      </c>
      <c r="C18" s="167" t="str">
        <f t="shared" si="2"/>
        <v/>
      </c>
      <c r="D18" s="167" t="str">
        <f t="shared" si="3"/>
        <v/>
      </c>
      <c r="E18" s="168" t="str">
        <f t="shared" si="4"/>
        <v/>
      </c>
      <c r="M18" s="329"/>
      <c r="N18" s="158"/>
      <c r="O18" s="158"/>
      <c r="P18" s="168"/>
      <c r="Q18" s="194"/>
      <c r="R18" s="195"/>
      <c r="S18" s="195"/>
      <c r="T18" s="192"/>
      <c r="U18" s="192"/>
      <c r="V18" s="192"/>
      <c r="W18" s="192"/>
      <c r="X18" s="192"/>
      <c r="Y18" s="222"/>
      <c r="Z18" s="223"/>
      <c r="AA18" s="222"/>
      <c r="AB18" s="222"/>
      <c r="AC18" s="190"/>
    </row>
    <row r="19" spans="2:29" ht="15.5" x14ac:dyDescent="0.35">
      <c r="B19" s="375" t="str">
        <f t="shared" si="1"/>
        <v/>
      </c>
      <c r="C19" s="167" t="str">
        <f t="shared" si="2"/>
        <v/>
      </c>
      <c r="D19" s="167" t="str">
        <f t="shared" si="3"/>
        <v/>
      </c>
      <c r="E19" s="168" t="str">
        <f t="shared" si="4"/>
        <v/>
      </c>
      <c r="M19" s="329"/>
      <c r="N19" s="158"/>
      <c r="O19" s="158"/>
      <c r="P19" s="184"/>
      <c r="Q19" s="185"/>
      <c r="R19" s="186"/>
      <c r="S19" s="187"/>
      <c r="T19" s="173"/>
      <c r="U19" s="192"/>
      <c r="V19" s="192"/>
      <c r="W19" s="189"/>
      <c r="X19" s="189"/>
      <c r="Y19" s="190"/>
      <c r="Z19" s="193"/>
      <c r="AA19" s="190"/>
      <c r="AB19" s="190"/>
      <c r="AC19" s="190"/>
    </row>
    <row r="20" spans="2:29" ht="15.5" x14ac:dyDescent="0.35">
      <c r="B20" s="375" t="str">
        <f t="shared" si="1"/>
        <v/>
      </c>
      <c r="C20" s="167" t="str">
        <f t="shared" si="2"/>
        <v/>
      </c>
      <c r="D20" s="167" t="str">
        <f t="shared" si="3"/>
        <v/>
      </c>
      <c r="E20" s="168" t="str">
        <f t="shared" si="4"/>
        <v/>
      </c>
      <c r="M20" s="329"/>
      <c r="N20" s="158"/>
      <c r="O20" s="199"/>
      <c r="P20" s="218"/>
      <c r="Q20" s="219"/>
      <c r="R20" s="208"/>
      <c r="S20" s="202"/>
      <c r="T20" s="341"/>
      <c r="U20" s="203"/>
      <c r="V20" s="203"/>
      <c r="W20" s="192"/>
      <c r="X20" s="192"/>
      <c r="Y20" s="190"/>
      <c r="Z20" s="193"/>
      <c r="AA20" s="190"/>
      <c r="AB20" s="190"/>
      <c r="AC20" s="190"/>
    </row>
    <row r="21" spans="2:29" ht="15.5" x14ac:dyDescent="0.35">
      <c r="B21" s="375" t="str">
        <f t="shared" si="1"/>
        <v/>
      </c>
      <c r="C21" s="167" t="str">
        <f t="shared" si="2"/>
        <v/>
      </c>
      <c r="D21" s="167" t="str">
        <f t="shared" si="3"/>
        <v/>
      </c>
      <c r="E21" s="168" t="str">
        <f t="shared" si="4"/>
        <v/>
      </c>
      <c r="M21" s="329"/>
      <c r="N21" s="158"/>
      <c r="O21" s="158"/>
      <c r="P21" s="168"/>
      <c r="Q21" s="194"/>
      <c r="R21" s="195"/>
      <c r="S21" s="195"/>
      <c r="T21" s="192"/>
      <c r="U21" s="192"/>
      <c r="V21" s="192"/>
      <c r="W21" s="192"/>
      <c r="X21" s="192"/>
      <c r="Y21" s="190"/>
      <c r="Z21" s="196"/>
      <c r="AA21" s="190"/>
      <c r="AB21" s="197"/>
      <c r="AC21" s="190"/>
    </row>
    <row r="22" spans="2:29" ht="15.5" x14ac:dyDescent="0.35">
      <c r="B22" s="375" t="str">
        <f t="shared" si="1"/>
        <v/>
      </c>
      <c r="C22" s="167" t="str">
        <f t="shared" si="2"/>
        <v/>
      </c>
      <c r="D22" s="167" t="str">
        <f t="shared" si="3"/>
        <v/>
      </c>
      <c r="E22" s="168" t="str">
        <f t="shared" si="4"/>
        <v/>
      </c>
      <c r="M22" s="329"/>
      <c r="N22" s="158"/>
      <c r="O22" s="158"/>
      <c r="P22" s="168"/>
      <c r="Q22" s="194"/>
      <c r="R22" s="195"/>
      <c r="S22" s="195"/>
      <c r="T22" s="342"/>
      <c r="U22" s="192"/>
      <c r="V22" s="192"/>
      <c r="W22" s="192"/>
      <c r="X22" s="192"/>
      <c r="Y22" s="190"/>
      <c r="Z22" s="196"/>
      <c r="AA22" s="190"/>
      <c r="AB22" s="197"/>
      <c r="AC22" s="190"/>
    </row>
    <row r="23" spans="2:29" ht="15.5" x14ac:dyDescent="0.35">
      <c r="B23" s="375" t="str">
        <f t="shared" si="1"/>
        <v/>
      </c>
      <c r="C23" s="167" t="str">
        <f t="shared" si="2"/>
        <v/>
      </c>
      <c r="D23" s="167" t="str">
        <f t="shared" si="3"/>
        <v/>
      </c>
      <c r="E23" s="168" t="str">
        <f t="shared" si="4"/>
        <v/>
      </c>
      <c r="M23" s="329"/>
      <c r="N23" s="158"/>
      <c r="O23" s="158"/>
      <c r="P23" s="184"/>
      <c r="Q23" s="185"/>
      <c r="R23" s="186"/>
      <c r="S23" s="187"/>
      <c r="T23" s="330"/>
      <c r="U23" s="192"/>
      <c r="V23" s="192"/>
      <c r="W23" s="189"/>
      <c r="X23" s="189"/>
      <c r="Y23" s="190"/>
      <c r="Z23" s="193"/>
      <c r="AA23" s="190"/>
      <c r="AB23" s="190"/>
      <c r="AC23" s="190"/>
    </row>
    <row r="24" spans="2:29" ht="15.5" x14ac:dyDescent="0.35">
      <c r="B24" s="375" t="str">
        <f t="shared" si="1"/>
        <v/>
      </c>
      <c r="C24" s="167" t="str">
        <f t="shared" si="2"/>
        <v/>
      </c>
      <c r="D24" s="167" t="str">
        <f t="shared" si="3"/>
        <v/>
      </c>
      <c r="E24" s="168" t="str">
        <f t="shared" si="4"/>
        <v/>
      </c>
      <c r="M24" s="329"/>
      <c r="N24" s="158"/>
      <c r="O24" s="199"/>
      <c r="P24" s="200"/>
      <c r="Q24" s="201"/>
      <c r="R24" s="208"/>
      <c r="S24" s="202"/>
      <c r="T24" s="339"/>
      <c r="U24" s="203"/>
      <c r="V24" s="203"/>
      <c r="W24" s="192"/>
      <c r="X24" s="192"/>
      <c r="Y24" s="190"/>
      <c r="Z24" s="193"/>
      <c r="AA24" s="190"/>
      <c r="AB24" s="190"/>
      <c r="AC24" s="190"/>
    </row>
    <row r="25" spans="2:29" ht="15.5" x14ac:dyDescent="0.35">
      <c r="B25" s="375" t="str">
        <f t="shared" si="1"/>
        <v/>
      </c>
      <c r="C25" s="167" t="str">
        <f t="shared" si="2"/>
        <v/>
      </c>
      <c r="D25" s="167" t="str">
        <f t="shared" si="3"/>
        <v/>
      </c>
      <c r="E25" s="168" t="str">
        <f t="shared" si="4"/>
        <v/>
      </c>
      <c r="M25" s="329"/>
      <c r="N25" s="158"/>
      <c r="O25" s="158"/>
      <c r="P25" s="168"/>
      <c r="Q25" s="194"/>
      <c r="R25" s="195"/>
      <c r="S25" s="195"/>
      <c r="T25" s="192"/>
      <c r="U25" s="192"/>
      <c r="V25" s="192"/>
      <c r="W25" s="192"/>
      <c r="X25" s="192"/>
      <c r="Y25" s="190"/>
      <c r="Z25" s="196"/>
      <c r="AA25" s="190"/>
      <c r="AB25" s="197"/>
      <c r="AC25" s="190"/>
    </row>
    <row r="26" spans="2:29" ht="15.5" x14ac:dyDescent="0.35">
      <c r="B26" s="375" t="str">
        <f t="shared" si="1"/>
        <v/>
      </c>
      <c r="C26" s="167" t="str">
        <f t="shared" si="2"/>
        <v/>
      </c>
      <c r="D26" s="167" t="str">
        <f t="shared" si="3"/>
        <v/>
      </c>
      <c r="E26" s="168" t="str">
        <f t="shared" si="4"/>
        <v/>
      </c>
      <c r="M26" s="329"/>
      <c r="N26" s="158"/>
      <c r="O26" s="158"/>
      <c r="P26" s="168"/>
      <c r="Q26" s="216"/>
      <c r="R26" s="195"/>
      <c r="S26" s="195"/>
      <c r="T26" s="192"/>
      <c r="U26" s="192"/>
      <c r="V26" s="192"/>
      <c r="W26" s="192"/>
      <c r="X26" s="192"/>
      <c r="Y26" s="190"/>
      <c r="Z26" s="212"/>
      <c r="AA26" s="190"/>
      <c r="AB26" s="190"/>
      <c r="AC26" s="190"/>
    </row>
    <row r="27" spans="2:29" ht="15.5" x14ac:dyDescent="0.35">
      <c r="B27" s="375" t="str">
        <f t="shared" si="1"/>
        <v/>
      </c>
      <c r="C27" s="167" t="str">
        <f t="shared" si="2"/>
        <v/>
      </c>
      <c r="D27" s="167" t="str">
        <f t="shared" si="3"/>
        <v/>
      </c>
      <c r="E27" s="168" t="str">
        <f t="shared" si="4"/>
        <v/>
      </c>
      <c r="M27" s="329"/>
      <c r="N27" s="158"/>
      <c r="O27" s="158"/>
      <c r="P27" s="168"/>
      <c r="Q27" s="194"/>
      <c r="R27" s="195"/>
      <c r="S27" s="195"/>
      <c r="T27" s="192"/>
      <c r="U27" s="192"/>
      <c r="V27" s="192"/>
      <c r="W27" s="192"/>
      <c r="X27" s="192"/>
      <c r="Y27" s="190"/>
      <c r="Z27" s="196"/>
      <c r="AA27" s="190"/>
      <c r="AB27" s="197"/>
      <c r="AC27" s="190"/>
    </row>
    <row r="28" spans="2:29" ht="15.5" x14ac:dyDescent="0.35">
      <c r="B28" s="375" t="str">
        <f t="shared" si="1"/>
        <v/>
      </c>
      <c r="C28" s="167" t="str">
        <f t="shared" si="2"/>
        <v/>
      </c>
      <c r="D28" s="167" t="str">
        <f t="shared" si="3"/>
        <v/>
      </c>
      <c r="E28" s="168" t="str">
        <f t="shared" si="4"/>
        <v/>
      </c>
      <c r="M28" s="329"/>
      <c r="N28" s="158"/>
      <c r="O28" s="158"/>
      <c r="P28" s="168"/>
      <c r="Q28" s="194"/>
      <c r="R28" s="195"/>
      <c r="S28" s="195"/>
      <c r="T28" s="192"/>
      <c r="U28" s="192"/>
      <c r="V28" s="192"/>
      <c r="W28" s="192"/>
      <c r="X28" s="192"/>
      <c r="Y28" s="190"/>
      <c r="Z28" s="196"/>
      <c r="AA28" s="190"/>
      <c r="AB28" s="197"/>
      <c r="AC28" s="190"/>
    </row>
    <row r="29" spans="2:29" ht="15.5" x14ac:dyDescent="0.35">
      <c r="B29" s="375" t="str">
        <f t="shared" si="1"/>
        <v/>
      </c>
      <c r="C29" s="167" t="str">
        <f t="shared" si="2"/>
        <v/>
      </c>
      <c r="D29" s="167" t="str">
        <f t="shared" si="3"/>
        <v/>
      </c>
      <c r="E29" s="168" t="str">
        <f t="shared" si="4"/>
        <v/>
      </c>
      <c r="M29" s="329"/>
      <c r="N29" s="158"/>
      <c r="O29" s="158"/>
      <c r="P29" s="184"/>
      <c r="Q29" s="185"/>
      <c r="R29" s="186"/>
      <c r="S29" s="187"/>
      <c r="T29" s="188"/>
      <c r="U29" s="188"/>
      <c r="V29" s="188"/>
      <c r="W29" s="189"/>
      <c r="X29" s="189"/>
      <c r="Y29" s="190"/>
      <c r="Z29" s="191"/>
      <c r="AA29" s="190"/>
      <c r="AB29" s="204"/>
      <c r="AC29" s="190"/>
    </row>
    <row r="30" spans="2:29" ht="15.5" x14ac:dyDescent="0.35">
      <c r="B30" s="375" t="str">
        <f t="shared" si="1"/>
        <v/>
      </c>
      <c r="C30" s="167" t="str">
        <f t="shared" si="2"/>
        <v/>
      </c>
      <c r="D30" s="167" t="str">
        <f t="shared" si="3"/>
        <v/>
      </c>
      <c r="E30" s="168" t="str">
        <f t="shared" si="4"/>
        <v/>
      </c>
      <c r="M30" s="329"/>
      <c r="N30" s="158"/>
      <c r="O30" s="158"/>
      <c r="P30" s="184"/>
      <c r="Q30" s="185"/>
      <c r="R30" s="186"/>
      <c r="S30" s="187"/>
      <c r="T30" s="188"/>
      <c r="U30" s="188"/>
      <c r="V30" s="188"/>
      <c r="W30" s="189"/>
      <c r="X30" s="189"/>
      <c r="Y30" s="190"/>
      <c r="Z30" s="191"/>
      <c r="AA30" s="190"/>
      <c r="AB30" s="204"/>
      <c r="AC30" s="190"/>
    </row>
    <row r="31" spans="2:29" ht="15.5" x14ac:dyDescent="0.35">
      <c r="B31" s="375" t="str">
        <f t="shared" si="1"/>
        <v/>
      </c>
      <c r="C31" s="167" t="str">
        <f t="shared" si="2"/>
        <v/>
      </c>
      <c r="D31" s="167" t="str">
        <f t="shared" si="3"/>
        <v/>
      </c>
      <c r="E31" s="168" t="str">
        <f t="shared" si="4"/>
        <v/>
      </c>
      <c r="M31" s="329"/>
      <c r="N31" s="158"/>
      <c r="O31" s="158"/>
      <c r="P31" s="184"/>
      <c r="Q31" s="185"/>
      <c r="R31" s="186"/>
      <c r="S31" s="187"/>
      <c r="T31" s="188"/>
      <c r="U31" s="188"/>
      <c r="V31" s="188"/>
      <c r="W31" s="189"/>
      <c r="X31" s="189"/>
      <c r="Y31" s="190"/>
      <c r="Z31" s="191"/>
      <c r="AA31" s="190"/>
      <c r="AB31" s="190"/>
      <c r="AC31" s="190"/>
    </row>
    <row r="32" spans="2:29" ht="15.5" x14ac:dyDescent="0.35">
      <c r="B32" s="375" t="str">
        <f t="shared" si="1"/>
        <v/>
      </c>
      <c r="C32" s="167" t="str">
        <f t="shared" si="2"/>
        <v/>
      </c>
      <c r="D32" s="167" t="str">
        <f t="shared" si="3"/>
        <v/>
      </c>
      <c r="E32" s="168" t="str">
        <f t="shared" si="4"/>
        <v/>
      </c>
      <c r="M32" s="329"/>
      <c r="N32" s="198"/>
      <c r="O32" s="158"/>
      <c r="P32" s="184"/>
      <c r="Q32" s="185"/>
      <c r="R32" s="186"/>
      <c r="S32" s="187"/>
      <c r="T32" s="330"/>
      <c r="U32" s="192"/>
      <c r="V32" s="192"/>
      <c r="W32" s="189"/>
      <c r="X32" s="192"/>
      <c r="Y32" s="190"/>
      <c r="Z32" s="193"/>
      <c r="AA32" s="190"/>
      <c r="AB32" s="190"/>
      <c r="AC32" s="190"/>
    </row>
    <row r="33" spans="2:29" ht="15.5" x14ac:dyDescent="0.35">
      <c r="B33" s="375" t="str">
        <f t="shared" si="1"/>
        <v/>
      </c>
      <c r="C33" s="167" t="str">
        <f t="shared" si="2"/>
        <v/>
      </c>
      <c r="D33" s="167" t="str">
        <f t="shared" si="3"/>
        <v/>
      </c>
      <c r="E33" s="168" t="str">
        <f t="shared" si="4"/>
        <v/>
      </c>
      <c r="M33" s="329"/>
      <c r="N33" s="158"/>
      <c r="O33" s="158"/>
      <c r="P33" s="184"/>
      <c r="Q33" s="185"/>
      <c r="R33" s="186"/>
      <c r="S33" s="187"/>
      <c r="T33" s="188"/>
      <c r="U33" s="188"/>
      <c r="V33" s="188"/>
      <c r="W33" s="189"/>
      <c r="X33" s="189"/>
      <c r="Y33" s="190"/>
      <c r="Z33" s="191"/>
      <c r="AA33" s="190"/>
      <c r="AB33" s="204"/>
      <c r="AC33" s="190"/>
    </row>
    <row r="34" spans="2:29" ht="15.5" x14ac:dyDescent="0.35">
      <c r="B34" s="375" t="str">
        <f t="shared" si="1"/>
        <v/>
      </c>
      <c r="C34" s="167" t="str">
        <f t="shared" si="2"/>
        <v/>
      </c>
      <c r="D34" s="167" t="str">
        <f t="shared" si="3"/>
        <v/>
      </c>
      <c r="E34" s="168" t="str">
        <f t="shared" si="4"/>
        <v/>
      </c>
      <c r="M34" s="329"/>
      <c r="N34" s="158"/>
      <c r="O34" s="199"/>
      <c r="P34" s="200"/>
      <c r="Q34" s="201"/>
      <c r="R34" s="208"/>
      <c r="S34" s="202"/>
      <c r="T34" s="339"/>
      <c r="U34" s="203"/>
      <c r="V34" s="203"/>
      <c r="W34" s="192"/>
      <c r="X34" s="192"/>
      <c r="Y34" s="190"/>
      <c r="Z34" s="193"/>
      <c r="AA34" s="190"/>
      <c r="AB34" s="190"/>
      <c r="AC34" s="190"/>
    </row>
    <row r="35" spans="2:29" ht="15.5" x14ac:dyDescent="0.35">
      <c r="B35" s="375" t="str">
        <f t="shared" si="1"/>
        <v/>
      </c>
      <c r="C35" s="167" t="str">
        <f t="shared" si="2"/>
        <v/>
      </c>
      <c r="D35" s="167" t="str">
        <f t="shared" si="3"/>
        <v/>
      </c>
      <c r="E35" s="168" t="str">
        <f t="shared" si="4"/>
        <v/>
      </c>
      <c r="M35" s="329"/>
      <c r="N35" s="158"/>
      <c r="O35" s="158"/>
      <c r="P35" s="168"/>
      <c r="Q35" s="194"/>
      <c r="R35" s="195"/>
      <c r="S35" s="195"/>
      <c r="T35" s="192"/>
      <c r="U35" s="192"/>
      <c r="V35" s="192"/>
      <c r="W35" s="192"/>
      <c r="X35" s="192"/>
      <c r="Y35" s="190"/>
      <c r="Z35" s="196"/>
      <c r="AA35" s="190"/>
      <c r="AB35" s="197"/>
      <c r="AC35" s="190"/>
    </row>
    <row r="36" spans="2:29" ht="15.5" x14ac:dyDescent="0.35">
      <c r="B36" s="375" t="str">
        <f t="shared" si="1"/>
        <v/>
      </c>
      <c r="C36" s="167" t="str">
        <f t="shared" si="2"/>
        <v/>
      </c>
      <c r="D36" s="167" t="str">
        <f t="shared" si="3"/>
        <v/>
      </c>
      <c r="E36" s="168" t="str">
        <f t="shared" si="4"/>
        <v/>
      </c>
      <c r="M36" s="329"/>
      <c r="N36" s="158"/>
      <c r="O36" s="158"/>
      <c r="P36" s="168"/>
      <c r="Q36" s="194"/>
      <c r="R36" s="195"/>
      <c r="S36" s="195"/>
      <c r="T36" s="192"/>
      <c r="U36" s="192"/>
      <c r="V36" s="192"/>
      <c r="W36" s="192"/>
      <c r="X36" s="192"/>
      <c r="Y36" s="190"/>
      <c r="Z36" s="196"/>
      <c r="AA36" s="190"/>
      <c r="AB36" s="197"/>
      <c r="AC36" s="190"/>
    </row>
    <row r="37" spans="2:29" ht="15.5" x14ac:dyDescent="0.35">
      <c r="B37" s="375" t="str">
        <f t="shared" si="1"/>
        <v/>
      </c>
      <c r="C37" s="167" t="str">
        <f t="shared" si="2"/>
        <v/>
      </c>
      <c r="D37" s="167" t="str">
        <f t="shared" si="3"/>
        <v/>
      </c>
      <c r="E37" s="168" t="str">
        <f t="shared" si="4"/>
        <v/>
      </c>
      <c r="M37" s="329"/>
      <c r="N37" s="158"/>
      <c r="O37" s="199"/>
      <c r="P37" s="200"/>
      <c r="Q37" s="201"/>
      <c r="R37" s="208"/>
      <c r="S37" s="202"/>
      <c r="T37" s="339"/>
      <c r="U37" s="203"/>
      <c r="V37" s="203"/>
      <c r="W37" s="192"/>
      <c r="X37" s="192"/>
      <c r="Y37" s="190"/>
      <c r="Z37" s="193"/>
      <c r="AA37" s="190"/>
      <c r="AB37" s="190"/>
      <c r="AC37" s="190"/>
    </row>
    <row r="38" spans="2:29" ht="15.5" x14ac:dyDescent="0.35">
      <c r="B38" s="375" t="str">
        <f t="shared" si="1"/>
        <v/>
      </c>
      <c r="C38" s="167" t="str">
        <f t="shared" si="2"/>
        <v/>
      </c>
      <c r="D38" s="167" t="str">
        <f t="shared" si="3"/>
        <v/>
      </c>
      <c r="E38" s="168" t="str">
        <f t="shared" si="4"/>
        <v/>
      </c>
      <c r="M38" s="329"/>
      <c r="N38" s="167"/>
      <c r="O38" s="158"/>
      <c r="P38" s="168"/>
      <c r="Q38" s="194"/>
      <c r="R38" s="195"/>
      <c r="S38" s="195"/>
      <c r="T38" s="192"/>
      <c r="U38" s="192"/>
      <c r="V38" s="192"/>
      <c r="W38" s="192"/>
      <c r="X38" s="192"/>
      <c r="Y38" s="222"/>
      <c r="Z38" s="223"/>
      <c r="AA38" s="190"/>
      <c r="AB38" s="222"/>
      <c r="AC38" s="224"/>
    </row>
    <row r="39" spans="2:29" ht="15.5" x14ac:dyDescent="0.35">
      <c r="B39" s="375" t="str">
        <f t="shared" si="1"/>
        <v/>
      </c>
      <c r="C39" s="167" t="str">
        <f t="shared" si="2"/>
        <v/>
      </c>
      <c r="D39" s="167" t="str">
        <f t="shared" si="3"/>
        <v/>
      </c>
      <c r="E39" s="168" t="str">
        <f t="shared" si="4"/>
        <v/>
      </c>
      <c r="M39" s="329"/>
      <c r="N39" s="158"/>
      <c r="O39" s="158"/>
      <c r="P39" s="168"/>
      <c r="Q39" s="194"/>
      <c r="R39" s="195"/>
      <c r="S39" s="195"/>
      <c r="T39" s="192"/>
      <c r="U39" s="192"/>
      <c r="V39" s="192"/>
      <c r="W39" s="192"/>
      <c r="X39" s="192"/>
      <c r="Y39" s="190"/>
      <c r="Z39" s="196"/>
      <c r="AA39" s="190"/>
      <c r="AB39" s="190"/>
      <c r="AC39" s="190"/>
    </row>
    <row r="40" spans="2:29" ht="15.5" x14ac:dyDescent="0.35">
      <c r="B40" s="375" t="str">
        <f t="shared" si="1"/>
        <v/>
      </c>
      <c r="C40" s="167" t="str">
        <f t="shared" si="2"/>
        <v/>
      </c>
      <c r="D40" s="167" t="str">
        <f t="shared" si="3"/>
        <v/>
      </c>
      <c r="E40" s="168" t="str">
        <f t="shared" si="4"/>
        <v/>
      </c>
      <c r="M40" s="329"/>
      <c r="N40" s="158"/>
      <c r="O40" s="158"/>
      <c r="P40" s="168"/>
      <c r="Q40" s="194"/>
      <c r="R40" s="195"/>
      <c r="S40" s="195"/>
      <c r="T40" s="192"/>
      <c r="U40" s="192"/>
      <c r="V40" s="192"/>
      <c r="W40" s="192"/>
      <c r="X40" s="192"/>
      <c r="Y40" s="190"/>
      <c r="Z40" s="196"/>
      <c r="AA40" s="190"/>
      <c r="AB40" s="190"/>
      <c r="AC40" s="190"/>
    </row>
    <row r="41" spans="2:29" ht="15.5" x14ac:dyDescent="0.35">
      <c r="B41" s="375" t="str">
        <f t="shared" si="1"/>
        <v/>
      </c>
      <c r="C41" s="167" t="str">
        <f t="shared" si="2"/>
        <v/>
      </c>
      <c r="D41" s="167" t="str">
        <f t="shared" si="3"/>
        <v/>
      </c>
      <c r="E41" s="168" t="str">
        <f t="shared" si="4"/>
        <v/>
      </c>
      <c r="M41" s="329"/>
      <c r="N41" s="158"/>
      <c r="O41" s="158"/>
      <c r="P41" s="184"/>
      <c r="Q41" s="185"/>
      <c r="R41" s="186"/>
      <c r="S41" s="187"/>
      <c r="T41" s="173"/>
      <c r="U41" s="192"/>
      <c r="V41" s="192"/>
      <c r="W41" s="189"/>
      <c r="X41" s="189"/>
      <c r="Y41" s="190"/>
      <c r="Z41" s="193"/>
      <c r="AA41" s="190"/>
      <c r="AB41" s="190"/>
      <c r="AC41" s="190"/>
    </row>
    <row r="42" spans="2:29" ht="15.5" x14ac:dyDescent="0.35">
      <c r="B42" s="375" t="str">
        <f t="shared" si="1"/>
        <v/>
      </c>
      <c r="C42" s="167" t="str">
        <f t="shared" si="2"/>
        <v/>
      </c>
      <c r="D42" s="167" t="str">
        <f t="shared" si="3"/>
        <v/>
      </c>
      <c r="E42" s="168" t="str">
        <f t="shared" si="4"/>
        <v/>
      </c>
      <c r="M42" s="329"/>
      <c r="N42" s="158"/>
      <c r="O42" s="158"/>
      <c r="P42" s="168"/>
      <c r="Q42" s="194"/>
      <c r="R42" s="195"/>
      <c r="S42" s="195"/>
      <c r="T42" s="192"/>
      <c r="U42" s="192"/>
      <c r="V42" s="192"/>
      <c r="W42" s="192"/>
      <c r="X42" s="192"/>
      <c r="Y42" s="190"/>
      <c r="Z42" s="196"/>
      <c r="AA42" s="190"/>
      <c r="AB42" s="197"/>
      <c r="AC42" s="190"/>
    </row>
    <row r="43" spans="2:29" ht="15.5" x14ac:dyDescent="0.35">
      <c r="B43" s="375" t="str">
        <f t="shared" si="1"/>
        <v/>
      </c>
      <c r="C43" s="167" t="str">
        <f t="shared" si="2"/>
        <v/>
      </c>
      <c r="D43" s="167" t="str">
        <f t="shared" si="3"/>
        <v/>
      </c>
      <c r="E43" s="168" t="str">
        <f t="shared" si="4"/>
        <v/>
      </c>
      <c r="M43" s="329"/>
      <c r="N43" s="158"/>
      <c r="O43" s="158"/>
      <c r="P43" s="168"/>
      <c r="Q43" s="194"/>
      <c r="R43" s="195"/>
      <c r="S43" s="195"/>
      <c r="T43" s="342"/>
      <c r="U43" s="192"/>
      <c r="V43" s="192"/>
      <c r="W43" s="192"/>
      <c r="X43" s="192"/>
      <c r="Y43" s="190"/>
      <c r="Z43" s="196"/>
      <c r="AA43" s="190"/>
      <c r="AB43" s="197"/>
      <c r="AC43" s="190"/>
    </row>
    <row r="44" spans="2:29" ht="15.5" x14ac:dyDescent="0.35">
      <c r="B44" s="375" t="str">
        <f t="shared" si="1"/>
        <v/>
      </c>
      <c r="C44" s="167" t="str">
        <f t="shared" si="2"/>
        <v/>
      </c>
      <c r="D44" s="167" t="str">
        <f t="shared" si="3"/>
        <v/>
      </c>
      <c r="E44" s="168" t="str">
        <f t="shared" si="4"/>
        <v/>
      </c>
      <c r="M44" s="329"/>
      <c r="N44" s="158"/>
      <c r="O44" s="158"/>
      <c r="P44" s="168"/>
      <c r="Q44" s="194"/>
      <c r="R44" s="195"/>
      <c r="S44" s="195"/>
      <c r="T44" s="342"/>
      <c r="U44" s="192"/>
      <c r="V44" s="192"/>
      <c r="W44" s="192"/>
      <c r="X44" s="192"/>
      <c r="Y44" s="190"/>
      <c r="Z44" s="196"/>
      <c r="AA44" s="190"/>
      <c r="AB44" s="197"/>
      <c r="AC44" s="190"/>
    </row>
    <row r="45" spans="2:29" ht="15.5" x14ac:dyDescent="0.35">
      <c r="B45" s="375" t="str">
        <f t="shared" si="1"/>
        <v/>
      </c>
      <c r="C45" s="167" t="str">
        <f t="shared" si="2"/>
        <v/>
      </c>
      <c r="D45" s="167" t="str">
        <f t="shared" si="3"/>
        <v/>
      </c>
      <c r="E45" s="168" t="str">
        <f t="shared" si="4"/>
        <v/>
      </c>
      <c r="M45" s="329"/>
      <c r="N45" s="158"/>
      <c r="O45" s="158"/>
      <c r="P45" s="184"/>
      <c r="Q45" s="185"/>
      <c r="R45" s="186"/>
      <c r="S45" s="187"/>
      <c r="T45" s="330"/>
      <c r="U45" s="192"/>
      <c r="V45" s="192"/>
      <c r="W45" s="189"/>
      <c r="X45" s="189"/>
      <c r="Y45" s="190"/>
      <c r="Z45" s="193"/>
      <c r="AA45" s="190"/>
      <c r="AB45" s="190"/>
      <c r="AC45" s="190"/>
    </row>
    <row r="46" spans="2:29" ht="15.5" x14ac:dyDescent="0.35">
      <c r="B46" s="375" t="str">
        <f t="shared" si="1"/>
        <v/>
      </c>
      <c r="C46" s="167" t="str">
        <f t="shared" si="2"/>
        <v/>
      </c>
      <c r="D46" s="167" t="str">
        <f t="shared" si="3"/>
        <v/>
      </c>
      <c r="E46" s="168" t="str">
        <f t="shared" si="4"/>
        <v/>
      </c>
      <c r="M46" s="329"/>
      <c r="N46" s="158"/>
      <c r="O46" s="158"/>
      <c r="P46" s="184"/>
      <c r="Q46" s="185"/>
      <c r="R46" s="186"/>
      <c r="S46" s="187"/>
      <c r="T46" s="173"/>
      <c r="U46" s="192"/>
      <c r="V46" s="192"/>
      <c r="W46" s="189"/>
      <c r="X46" s="192"/>
      <c r="Y46" s="190"/>
      <c r="Z46" s="193"/>
      <c r="AA46" s="190"/>
      <c r="AB46" s="190"/>
      <c r="AC46" s="190"/>
    </row>
    <row r="47" spans="2:29" ht="15.5" x14ac:dyDescent="0.35">
      <c r="B47" s="375" t="str">
        <f t="shared" si="1"/>
        <v/>
      </c>
      <c r="C47" s="167" t="str">
        <f t="shared" si="2"/>
        <v/>
      </c>
      <c r="D47" s="167" t="str">
        <f t="shared" si="3"/>
        <v/>
      </c>
      <c r="E47" s="168" t="str">
        <f t="shared" si="4"/>
        <v/>
      </c>
      <c r="M47" s="329"/>
      <c r="N47" s="158"/>
      <c r="O47" s="199"/>
      <c r="P47" s="200"/>
      <c r="Q47" s="201"/>
      <c r="R47" s="208"/>
      <c r="S47" s="202"/>
      <c r="T47" s="339"/>
      <c r="U47" s="203"/>
      <c r="V47" s="203"/>
      <c r="W47" s="192"/>
      <c r="X47" s="192"/>
      <c r="Y47" s="190"/>
      <c r="Z47" s="193"/>
      <c r="AA47" s="190"/>
      <c r="AB47" s="190"/>
      <c r="AC47" s="190"/>
    </row>
    <row r="48" spans="2:29" ht="15.5" x14ac:dyDescent="0.35">
      <c r="B48" s="375" t="str">
        <f t="shared" si="1"/>
        <v/>
      </c>
      <c r="C48" s="167" t="str">
        <f t="shared" si="2"/>
        <v/>
      </c>
      <c r="D48" s="167" t="str">
        <f t="shared" si="3"/>
        <v/>
      </c>
      <c r="E48" s="168" t="str">
        <f t="shared" si="4"/>
        <v/>
      </c>
      <c r="M48" s="329"/>
      <c r="N48" s="158"/>
      <c r="O48" s="158"/>
      <c r="P48" s="168"/>
      <c r="Q48" s="194"/>
      <c r="R48" s="195"/>
      <c r="S48" s="195"/>
      <c r="T48" s="192"/>
      <c r="U48" s="192"/>
      <c r="V48" s="192"/>
      <c r="W48" s="192"/>
      <c r="X48" s="192"/>
      <c r="Y48" s="190"/>
      <c r="Z48" s="212"/>
      <c r="AA48" s="190"/>
      <c r="AB48" s="190"/>
      <c r="AC48" s="190"/>
    </row>
    <row r="49" spans="2:29" ht="15.5" x14ac:dyDescent="0.35">
      <c r="B49" s="375" t="str">
        <f t="shared" si="1"/>
        <v/>
      </c>
      <c r="C49" s="167" t="str">
        <f t="shared" si="2"/>
        <v/>
      </c>
      <c r="D49" s="167" t="str">
        <f t="shared" si="3"/>
        <v/>
      </c>
      <c r="E49" s="168" t="str">
        <f t="shared" si="4"/>
        <v/>
      </c>
      <c r="M49" s="329"/>
      <c r="N49" s="158"/>
      <c r="O49" s="199"/>
      <c r="P49" s="200"/>
      <c r="Q49" s="201"/>
      <c r="R49" s="195"/>
      <c r="S49" s="202"/>
      <c r="T49" s="339"/>
      <c r="U49" s="203"/>
      <c r="V49" s="203"/>
      <c r="W49" s="192"/>
      <c r="X49" s="192"/>
      <c r="Y49" s="190"/>
      <c r="Z49" s="193"/>
      <c r="AA49" s="190"/>
      <c r="AB49" s="190"/>
      <c r="AC49" s="190"/>
    </row>
    <row r="50" spans="2:29" ht="15.5" x14ac:dyDescent="0.35">
      <c r="B50" s="375" t="str">
        <f t="shared" si="1"/>
        <v/>
      </c>
      <c r="C50" s="167" t="str">
        <f t="shared" si="2"/>
        <v/>
      </c>
      <c r="D50" s="167" t="str">
        <f t="shared" si="3"/>
        <v/>
      </c>
      <c r="E50" s="168" t="str">
        <f t="shared" si="4"/>
        <v/>
      </c>
      <c r="M50" s="329"/>
      <c r="N50" s="158"/>
      <c r="O50" s="158"/>
      <c r="P50" s="184"/>
      <c r="Q50" s="185"/>
      <c r="R50" s="186"/>
      <c r="S50" s="187"/>
      <c r="T50" s="173"/>
      <c r="U50" s="192"/>
      <c r="V50" s="192"/>
      <c r="W50" s="189"/>
      <c r="X50" s="189"/>
      <c r="Y50" s="190"/>
      <c r="Z50" s="193"/>
      <c r="AA50" s="190"/>
      <c r="AB50" s="190"/>
      <c r="AC50" s="190"/>
    </row>
    <row r="51" spans="2:29" ht="15.5" x14ac:dyDescent="0.35">
      <c r="B51" s="375" t="str">
        <f t="shared" si="1"/>
        <v/>
      </c>
      <c r="C51" s="167" t="str">
        <f t="shared" si="2"/>
        <v/>
      </c>
      <c r="D51" s="167" t="str">
        <f t="shared" si="3"/>
        <v/>
      </c>
      <c r="E51" s="168" t="str">
        <f t="shared" si="4"/>
        <v/>
      </c>
      <c r="M51" s="329"/>
      <c r="N51" s="158"/>
      <c r="O51" s="158"/>
      <c r="P51" s="184"/>
      <c r="Q51" s="185"/>
      <c r="R51" s="186"/>
      <c r="S51" s="187"/>
      <c r="T51" s="173"/>
      <c r="U51" s="192"/>
      <c r="V51" s="192"/>
      <c r="W51" s="189"/>
      <c r="X51" s="189"/>
      <c r="Y51" s="190"/>
      <c r="Z51" s="193"/>
      <c r="AA51" s="190"/>
      <c r="AB51" s="197"/>
      <c r="AC51" s="224"/>
    </row>
    <row r="52" spans="2:29" ht="15.5" x14ac:dyDescent="0.35">
      <c r="B52" s="375" t="str">
        <f t="shared" si="1"/>
        <v/>
      </c>
      <c r="C52" s="167" t="str">
        <f t="shared" si="2"/>
        <v/>
      </c>
      <c r="D52" s="167" t="str">
        <f t="shared" si="3"/>
        <v/>
      </c>
      <c r="E52" s="168" t="str">
        <f t="shared" si="4"/>
        <v/>
      </c>
      <c r="M52" s="329"/>
      <c r="N52" s="158"/>
      <c r="O52" s="158"/>
      <c r="P52" s="168"/>
      <c r="Q52" s="194"/>
      <c r="R52" s="195"/>
      <c r="S52" s="195"/>
      <c r="T52" s="192"/>
      <c r="U52" s="192"/>
      <c r="V52" s="192"/>
      <c r="W52" s="192"/>
      <c r="X52" s="192"/>
      <c r="Y52" s="190"/>
      <c r="Z52" s="196"/>
      <c r="AA52" s="190"/>
      <c r="AB52" s="190"/>
      <c r="AC52" s="190"/>
    </row>
    <row r="53" spans="2:29" ht="15.5" x14ac:dyDescent="0.35">
      <c r="B53" s="375" t="str">
        <f t="shared" si="1"/>
        <v/>
      </c>
      <c r="C53" s="167" t="str">
        <f t="shared" si="2"/>
        <v/>
      </c>
      <c r="D53" s="167" t="str">
        <f t="shared" si="3"/>
        <v/>
      </c>
      <c r="E53" s="168" t="str">
        <f t="shared" si="4"/>
        <v/>
      </c>
      <c r="M53" s="329"/>
      <c r="N53" s="158"/>
      <c r="O53" s="158"/>
      <c r="P53" s="168"/>
      <c r="Q53" s="194"/>
      <c r="R53" s="195"/>
      <c r="S53" s="195"/>
      <c r="T53" s="192"/>
      <c r="U53" s="192"/>
      <c r="V53" s="192"/>
      <c r="W53" s="192"/>
      <c r="X53" s="192"/>
      <c r="Y53" s="190"/>
      <c r="Z53" s="196"/>
      <c r="AA53" s="190"/>
      <c r="AB53" s="190"/>
      <c r="AC53" s="190"/>
    </row>
    <row r="54" spans="2:29" ht="15.5" x14ac:dyDescent="0.35">
      <c r="B54" s="375" t="str">
        <f t="shared" si="1"/>
        <v/>
      </c>
      <c r="C54" s="167" t="str">
        <f t="shared" si="2"/>
        <v/>
      </c>
      <c r="D54" s="167" t="str">
        <f t="shared" si="3"/>
        <v/>
      </c>
      <c r="E54" s="168" t="str">
        <f t="shared" si="4"/>
        <v/>
      </c>
      <c r="M54" s="329"/>
      <c r="N54" s="158"/>
      <c r="O54" s="158"/>
      <c r="P54" s="168"/>
      <c r="Q54" s="194"/>
      <c r="R54" s="195"/>
      <c r="S54" s="195"/>
      <c r="T54" s="192"/>
      <c r="U54" s="192"/>
      <c r="V54" s="192"/>
      <c r="W54" s="192"/>
      <c r="X54" s="192"/>
      <c r="Y54" s="190"/>
      <c r="Z54" s="196"/>
      <c r="AA54" s="190"/>
      <c r="AB54" s="190"/>
      <c r="AC54" s="190"/>
    </row>
    <row r="55" spans="2:29" ht="15.5" x14ac:dyDescent="0.35">
      <c r="B55" s="375" t="str">
        <f t="shared" si="1"/>
        <v/>
      </c>
      <c r="C55" s="167" t="str">
        <f t="shared" si="2"/>
        <v/>
      </c>
      <c r="D55" s="167" t="str">
        <f t="shared" si="3"/>
        <v/>
      </c>
      <c r="E55" s="168" t="str">
        <f t="shared" si="4"/>
        <v/>
      </c>
      <c r="M55" s="329"/>
      <c r="N55" s="198"/>
      <c r="O55" s="158"/>
      <c r="P55" s="184"/>
      <c r="Q55" s="185"/>
      <c r="R55" s="186"/>
      <c r="S55" s="187"/>
      <c r="T55" s="173"/>
      <c r="U55" s="192"/>
      <c r="V55" s="192"/>
      <c r="W55" s="189"/>
      <c r="X55" s="189"/>
      <c r="Y55" s="190"/>
      <c r="Z55" s="193"/>
      <c r="AA55" s="190"/>
      <c r="AB55" s="190"/>
      <c r="AC55" s="190"/>
    </row>
    <row r="56" spans="2:29" ht="15.5" x14ac:dyDescent="0.35">
      <c r="B56" s="375" t="str">
        <f t="shared" si="1"/>
        <v/>
      </c>
      <c r="C56" s="167" t="str">
        <f t="shared" si="2"/>
        <v/>
      </c>
      <c r="D56" s="167" t="str">
        <f t="shared" si="3"/>
        <v/>
      </c>
      <c r="E56" s="168" t="str">
        <f t="shared" si="4"/>
        <v/>
      </c>
      <c r="M56" s="329"/>
      <c r="N56" s="158"/>
      <c r="O56" s="158"/>
      <c r="P56" s="168"/>
      <c r="Q56" s="194"/>
      <c r="R56" s="195"/>
      <c r="S56" s="195"/>
      <c r="T56" s="192"/>
      <c r="U56" s="192"/>
      <c r="V56" s="192"/>
      <c r="W56" s="192"/>
      <c r="X56" s="192"/>
      <c r="Y56" s="190"/>
      <c r="Z56" s="196"/>
      <c r="AA56" s="190"/>
      <c r="AB56" s="197"/>
      <c r="AC56" s="190"/>
    </row>
    <row r="57" spans="2:29" ht="15.5" x14ac:dyDescent="0.35">
      <c r="B57" s="375" t="str">
        <f t="shared" si="1"/>
        <v/>
      </c>
      <c r="C57" s="167" t="str">
        <f t="shared" si="2"/>
        <v/>
      </c>
      <c r="D57" s="167" t="str">
        <f t="shared" si="3"/>
        <v/>
      </c>
      <c r="E57" s="168" t="str">
        <f t="shared" si="4"/>
        <v/>
      </c>
      <c r="M57" s="329"/>
      <c r="N57" s="158"/>
      <c r="O57" s="158"/>
      <c r="P57" s="168"/>
      <c r="Q57" s="216"/>
      <c r="R57" s="195"/>
      <c r="S57" s="195"/>
      <c r="T57" s="192"/>
      <c r="U57" s="192"/>
      <c r="V57" s="192"/>
      <c r="W57" s="192"/>
      <c r="X57" s="192"/>
      <c r="Y57" s="190"/>
      <c r="Z57" s="212"/>
      <c r="AA57" s="190"/>
      <c r="AB57" s="190"/>
      <c r="AC57" s="190"/>
    </row>
    <row r="58" spans="2:29" ht="15.5" x14ac:dyDescent="0.35">
      <c r="B58" s="375" t="str">
        <f t="shared" si="1"/>
        <v/>
      </c>
      <c r="C58" s="167" t="str">
        <f t="shared" si="2"/>
        <v/>
      </c>
      <c r="D58" s="167" t="str">
        <f t="shared" si="3"/>
        <v/>
      </c>
      <c r="E58" s="168" t="str">
        <f t="shared" si="4"/>
        <v/>
      </c>
      <c r="M58" s="329"/>
      <c r="N58" s="158"/>
      <c r="O58" s="158"/>
      <c r="P58" s="184"/>
      <c r="Q58" s="185"/>
      <c r="R58" s="186"/>
      <c r="S58" s="187"/>
      <c r="T58" s="173"/>
      <c r="U58" s="192"/>
      <c r="V58" s="192"/>
      <c r="W58" s="189"/>
      <c r="X58" s="189"/>
      <c r="Y58" s="190"/>
      <c r="Z58" s="193"/>
      <c r="AA58" s="190"/>
      <c r="AB58" s="190"/>
      <c r="AC58" s="190"/>
    </row>
    <row r="59" spans="2:29" ht="15.5" x14ac:dyDescent="0.35">
      <c r="B59" s="375" t="str">
        <f t="shared" si="1"/>
        <v/>
      </c>
      <c r="C59" s="167" t="str">
        <f t="shared" si="2"/>
        <v/>
      </c>
      <c r="D59" s="167" t="str">
        <f t="shared" si="3"/>
        <v/>
      </c>
      <c r="E59" s="168" t="str">
        <f t="shared" si="4"/>
        <v/>
      </c>
      <c r="M59" s="329"/>
      <c r="N59" s="158"/>
      <c r="O59" s="158"/>
      <c r="P59" s="168"/>
      <c r="Q59" s="194"/>
      <c r="R59" s="195"/>
      <c r="S59" s="195"/>
      <c r="T59" s="192"/>
      <c r="U59" s="192"/>
      <c r="V59" s="192"/>
      <c r="W59" s="192"/>
      <c r="X59" s="192"/>
      <c r="Y59" s="190"/>
      <c r="Z59" s="196"/>
      <c r="AA59" s="190"/>
      <c r="AB59" s="197"/>
      <c r="AC59" s="190"/>
    </row>
    <row r="60" spans="2:29" ht="15.5" x14ac:dyDescent="0.35">
      <c r="B60" s="375" t="str">
        <f t="shared" si="1"/>
        <v/>
      </c>
      <c r="C60" s="167" t="str">
        <f t="shared" si="2"/>
        <v/>
      </c>
      <c r="D60" s="167" t="str">
        <f t="shared" si="3"/>
        <v/>
      </c>
      <c r="E60" s="168" t="str">
        <f t="shared" si="4"/>
        <v/>
      </c>
      <c r="M60" s="329"/>
      <c r="N60" s="158"/>
      <c r="O60" s="158"/>
      <c r="P60" s="168"/>
      <c r="Q60" s="216"/>
      <c r="R60" s="195"/>
      <c r="S60" s="195"/>
      <c r="T60" s="192"/>
      <c r="U60" s="192"/>
      <c r="V60" s="192"/>
      <c r="W60" s="192"/>
      <c r="X60" s="192"/>
      <c r="Y60" s="190"/>
      <c r="Z60" s="212"/>
      <c r="AA60" s="190"/>
      <c r="AB60" s="190"/>
      <c r="AC60" s="190"/>
    </row>
    <row r="61" spans="2:29" ht="15.5" x14ac:dyDescent="0.35">
      <c r="B61" s="375" t="str">
        <f t="shared" si="1"/>
        <v/>
      </c>
      <c r="C61" s="167" t="str">
        <f t="shared" si="2"/>
        <v/>
      </c>
      <c r="D61" s="167" t="str">
        <f t="shared" si="3"/>
        <v/>
      </c>
      <c r="E61" s="168" t="str">
        <f t="shared" si="4"/>
        <v/>
      </c>
      <c r="M61" s="329"/>
      <c r="N61" s="158"/>
      <c r="O61" s="158"/>
      <c r="P61" s="168"/>
      <c r="Q61" s="194"/>
      <c r="R61" s="195"/>
      <c r="S61" s="195"/>
      <c r="T61" s="192"/>
      <c r="U61" s="192"/>
      <c r="V61" s="192"/>
      <c r="W61" s="192"/>
      <c r="X61" s="189"/>
      <c r="Y61" s="190"/>
      <c r="Z61" s="196"/>
      <c r="AA61" s="190"/>
      <c r="AB61" s="197"/>
      <c r="AC61" s="190"/>
    </row>
    <row r="62" spans="2:29" ht="15.5" x14ac:dyDescent="0.35">
      <c r="B62" s="166"/>
      <c r="M62" s="329"/>
      <c r="N62" s="158"/>
      <c r="O62" s="158"/>
      <c r="P62" s="168"/>
      <c r="Q62" s="194"/>
      <c r="R62" s="195"/>
      <c r="S62" s="195"/>
      <c r="T62" s="192"/>
      <c r="U62" s="192"/>
      <c r="V62" s="192"/>
      <c r="W62" s="192"/>
      <c r="X62" s="192"/>
      <c r="Y62" s="190"/>
      <c r="Z62" s="196"/>
      <c r="AA62" s="190"/>
      <c r="AB62" s="197"/>
      <c r="AC62" s="190"/>
    </row>
    <row r="63" spans="2:29" ht="15.5" x14ac:dyDescent="0.35">
      <c r="B63" s="166"/>
      <c r="M63" s="329"/>
      <c r="N63" s="158"/>
      <c r="O63" s="158"/>
      <c r="P63" s="168"/>
      <c r="Q63" s="194"/>
      <c r="R63" s="195"/>
      <c r="S63" s="195"/>
      <c r="T63" s="192"/>
      <c r="U63" s="192"/>
      <c r="V63" s="192"/>
      <c r="W63" s="192"/>
      <c r="X63" s="192"/>
      <c r="Y63" s="190"/>
      <c r="Z63" s="196"/>
      <c r="AA63" s="190"/>
      <c r="AB63" s="197"/>
      <c r="AC63" s="190"/>
    </row>
    <row r="64" spans="2:29" ht="15.5" x14ac:dyDescent="0.35">
      <c r="B64" s="166"/>
      <c r="M64" s="329"/>
      <c r="N64" s="158"/>
      <c r="O64" s="158"/>
      <c r="P64" s="184"/>
      <c r="Q64" s="185"/>
      <c r="R64" s="186"/>
      <c r="S64" s="187"/>
      <c r="T64" s="173"/>
      <c r="U64" s="192"/>
      <c r="V64" s="192"/>
      <c r="W64" s="189"/>
      <c r="X64" s="189"/>
      <c r="Y64" s="190"/>
      <c r="Z64" s="193"/>
      <c r="AA64" s="190"/>
      <c r="AB64" s="190"/>
      <c r="AC64" s="190"/>
    </row>
    <row r="65" spans="2:29" ht="15.5" x14ac:dyDescent="0.35">
      <c r="B65" s="166"/>
      <c r="M65" s="329"/>
      <c r="N65" s="158"/>
      <c r="O65" s="158"/>
      <c r="P65" s="168"/>
      <c r="Q65" s="194"/>
      <c r="R65" s="195"/>
      <c r="S65" s="195"/>
      <c r="T65" s="192"/>
      <c r="U65" s="192"/>
      <c r="V65" s="192"/>
      <c r="W65" s="192"/>
      <c r="X65" s="192"/>
      <c r="Y65" s="190"/>
      <c r="Z65" s="196"/>
      <c r="AA65" s="190"/>
      <c r="AB65" s="197"/>
      <c r="AC65" s="190"/>
    </row>
    <row r="66" spans="2:29" ht="15.5" x14ac:dyDescent="0.35">
      <c r="B66" s="166"/>
      <c r="M66" s="329"/>
      <c r="N66" s="158"/>
      <c r="O66" s="158"/>
      <c r="P66" s="168"/>
      <c r="Q66" s="194"/>
      <c r="R66" s="195"/>
      <c r="S66" s="195"/>
      <c r="T66" s="192"/>
      <c r="U66" s="192"/>
      <c r="V66" s="192"/>
      <c r="W66" s="192"/>
      <c r="X66" s="192"/>
      <c r="Y66" s="190"/>
      <c r="Z66" s="196"/>
      <c r="AA66" s="190"/>
      <c r="AB66" s="197"/>
      <c r="AC66" s="190"/>
    </row>
    <row r="67" spans="2:29" ht="15.5" x14ac:dyDescent="0.35">
      <c r="B67" s="166"/>
      <c r="M67" s="329"/>
      <c r="N67" s="158"/>
      <c r="O67" s="158"/>
      <c r="P67" s="168"/>
      <c r="Q67" s="194"/>
      <c r="R67" s="195"/>
      <c r="S67" s="195"/>
      <c r="T67" s="192"/>
      <c r="U67" s="192"/>
      <c r="V67" s="192"/>
      <c r="W67" s="192"/>
      <c r="X67" s="192"/>
      <c r="Y67" s="190"/>
      <c r="Z67" s="196"/>
      <c r="AA67" s="190"/>
      <c r="AB67" s="197"/>
      <c r="AC67" s="190"/>
    </row>
    <row r="68" spans="2:29" ht="15.5" x14ac:dyDescent="0.35">
      <c r="B68" s="166"/>
      <c r="M68" s="329"/>
      <c r="N68" s="158"/>
      <c r="O68" s="158"/>
      <c r="P68" s="184"/>
      <c r="Q68" s="185"/>
      <c r="R68" s="186"/>
      <c r="S68" s="187"/>
      <c r="T68" s="173"/>
      <c r="U68" s="192"/>
      <c r="V68" s="192"/>
      <c r="W68" s="189"/>
      <c r="X68" s="189"/>
      <c r="Y68" s="190"/>
      <c r="Z68" s="193"/>
      <c r="AA68" s="190"/>
      <c r="AB68" s="190"/>
      <c r="AC68" s="190"/>
    </row>
    <row r="69" spans="2:29" ht="15.5" x14ac:dyDescent="0.35">
      <c r="B69" s="166"/>
      <c r="M69" s="329"/>
      <c r="N69" s="158"/>
      <c r="O69" s="158"/>
      <c r="P69" s="213"/>
      <c r="Q69" s="214"/>
      <c r="R69" s="186"/>
      <c r="S69" s="202"/>
      <c r="T69" s="215"/>
      <c r="U69" s="203"/>
      <c r="V69" s="203"/>
      <c r="W69" s="192"/>
      <c r="X69" s="192"/>
      <c r="Y69" s="190"/>
      <c r="Z69" s="193"/>
      <c r="AA69" s="190"/>
      <c r="AB69" s="190"/>
      <c r="AC69" s="190"/>
    </row>
    <row r="70" spans="2:29" ht="15.5" x14ac:dyDescent="0.35">
      <c r="B70" s="166"/>
      <c r="M70" s="329"/>
      <c r="N70" s="158"/>
      <c r="O70" s="158"/>
      <c r="P70" s="168"/>
      <c r="Q70" s="194"/>
      <c r="R70" s="195"/>
      <c r="S70" s="195"/>
      <c r="T70" s="192"/>
      <c r="U70" s="192"/>
      <c r="V70" s="192"/>
      <c r="W70" s="192"/>
      <c r="X70" s="192"/>
      <c r="Y70" s="190"/>
      <c r="Z70" s="196"/>
      <c r="AA70" s="190"/>
      <c r="AB70" s="197"/>
      <c r="AC70" s="190"/>
    </row>
    <row r="71" spans="2:29" ht="15.5" x14ac:dyDescent="0.35">
      <c r="B71" s="166"/>
      <c r="M71" s="329"/>
      <c r="N71" s="158"/>
      <c r="O71" s="158"/>
      <c r="P71" s="168"/>
      <c r="Q71" s="194"/>
      <c r="R71" s="195"/>
      <c r="S71" s="195"/>
      <c r="T71" s="192"/>
      <c r="U71" s="192"/>
      <c r="V71" s="192"/>
      <c r="W71" s="192"/>
      <c r="X71" s="192"/>
      <c r="Y71" s="190"/>
      <c r="Z71" s="196"/>
      <c r="AA71" s="190"/>
      <c r="AB71" s="197"/>
      <c r="AC71" s="190"/>
    </row>
    <row r="72" spans="2:29" ht="15.5" x14ac:dyDescent="0.35">
      <c r="B72" s="166"/>
      <c r="M72" s="329"/>
      <c r="N72" s="158"/>
      <c r="O72" s="158"/>
      <c r="P72" s="168"/>
      <c r="Q72" s="194"/>
      <c r="R72" s="195"/>
      <c r="S72" s="195"/>
      <c r="T72" s="192"/>
      <c r="U72" s="192"/>
      <c r="V72" s="192"/>
      <c r="W72" s="192"/>
      <c r="X72" s="192"/>
      <c r="Y72" s="190"/>
      <c r="Z72" s="196"/>
      <c r="AA72" s="190"/>
      <c r="AB72" s="197"/>
      <c r="AC72" s="190"/>
    </row>
    <row r="73" spans="2:29" ht="15.5" x14ac:dyDescent="0.35">
      <c r="B73" s="166"/>
      <c r="M73" s="329"/>
      <c r="N73" s="158"/>
      <c r="O73" s="158"/>
      <c r="P73" s="168"/>
      <c r="Q73" s="194"/>
      <c r="R73" s="195"/>
      <c r="S73" s="195"/>
      <c r="T73" s="192"/>
      <c r="U73" s="192"/>
      <c r="V73" s="192"/>
      <c r="W73" s="192"/>
      <c r="X73" s="192"/>
      <c r="Y73" s="190"/>
      <c r="Z73" s="196"/>
      <c r="AA73" s="190"/>
      <c r="AB73" s="197"/>
      <c r="AC73" s="190"/>
    </row>
    <row r="74" spans="2:29" ht="15.5" x14ac:dyDescent="0.35">
      <c r="B74" s="166"/>
      <c r="M74" s="329"/>
      <c r="N74" s="158"/>
      <c r="O74" s="158"/>
      <c r="P74" s="168"/>
      <c r="Q74" s="194"/>
      <c r="R74" s="195"/>
      <c r="S74" s="195"/>
      <c r="T74" s="192"/>
      <c r="U74" s="192"/>
      <c r="V74" s="192"/>
      <c r="W74" s="192"/>
      <c r="X74" s="192"/>
      <c r="Y74" s="190"/>
      <c r="Z74" s="196"/>
      <c r="AA74" s="190"/>
      <c r="AB74" s="197"/>
      <c r="AC74" s="190"/>
    </row>
    <row r="75" spans="2:29" ht="15.5" x14ac:dyDescent="0.35">
      <c r="B75" s="166"/>
      <c r="M75" s="329"/>
      <c r="N75" s="158"/>
      <c r="O75" s="158"/>
      <c r="P75" s="184"/>
      <c r="Q75" s="185"/>
      <c r="R75" s="186"/>
      <c r="S75" s="187"/>
      <c r="T75" s="173"/>
      <c r="U75" s="192"/>
      <c r="V75" s="192"/>
      <c r="W75" s="189"/>
      <c r="X75" s="189"/>
      <c r="Y75" s="190"/>
      <c r="Z75" s="193"/>
      <c r="AA75" s="190"/>
      <c r="AB75" s="190"/>
      <c r="AC75" s="190"/>
    </row>
    <row r="76" spans="2:29" ht="15.5" x14ac:dyDescent="0.35">
      <c r="B76" s="166"/>
      <c r="M76" s="329"/>
      <c r="N76" s="158"/>
      <c r="O76" s="158"/>
      <c r="P76" s="168"/>
      <c r="Q76" s="194"/>
      <c r="R76" s="195"/>
      <c r="S76" s="195"/>
      <c r="T76" s="192"/>
      <c r="U76" s="192"/>
      <c r="V76" s="192"/>
      <c r="W76" s="192"/>
      <c r="X76" s="192"/>
      <c r="Y76" s="190"/>
      <c r="Z76" s="196"/>
      <c r="AA76" s="190"/>
      <c r="AB76" s="197"/>
      <c r="AC76" s="190"/>
    </row>
    <row r="77" spans="2:29" ht="15.5" x14ac:dyDescent="0.35">
      <c r="B77" s="166"/>
      <c r="M77" s="329"/>
      <c r="N77" s="158"/>
      <c r="O77" s="158"/>
      <c r="P77" s="184"/>
      <c r="Q77" s="185"/>
      <c r="R77" s="186"/>
      <c r="S77" s="187"/>
      <c r="T77" s="188"/>
      <c r="U77" s="188"/>
      <c r="V77" s="188"/>
      <c r="W77" s="189"/>
      <c r="X77" s="189"/>
      <c r="Y77" s="190"/>
      <c r="Z77" s="191"/>
      <c r="AA77" s="190"/>
      <c r="AB77" s="204"/>
      <c r="AC77" s="190"/>
    </row>
    <row r="78" spans="2:29" ht="15.5" x14ac:dyDescent="0.35">
      <c r="B78" s="166"/>
      <c r="M78" s="329"/>
      <c r="N78" s="158"/>
      <c r="O78" s="158"/>
      <c r="P78" s="184"/>
      <c r="Q78" s="185"/>
      <c r="R78" s="186"/>
      <c r="S78" s="187"/>
      <c r="T78" s="188"/>
      <c r="U78" s="188"/>
      <c r="V78" s="188"/>
      <c r="W78" s="189"/>
      <c r="X78" s="189"/>
      <c r="Y78" s="190"/>
      <c r="Z78" s="191"/>
      <c r="AA78" s="190"/>
      <c r="AB78" s="204"/>
      <c r="AC78" s="190"/>
    </row>
    <row r="79" spans="2:29" ht="15.5" x14ac:dyDescent="0.35">
      <c r="B79" s="166"/>
      <c r="M79" s="329"/>
      <c r="N79" s="158"/>
      <c r="O79" s="158"/>
      <c r="P79" s="184"/>
      <c r="Q79" s="185"/>
      <c r="R79" s="186"/>
      <c r="S79" s="187"/>
      <c r="T79" s="188"/>
      <c r="U79" s="188"/>
      <c r="V79" s="188"/>
      <c r="W79" s="189"/>
      <c r="X79" s="189"/>
      <c r="Y79" s="190"/>
      <c r="Z79" s="191"/>
      <c r="AA79" s="190"/>
      <c r="AB79" s="204"/>
      <c r="AC79" s="190"/>
    </row>
    <row r="80" spans="2:29" ht="15.5" x14ac:dyDescent="0.35">
      <c r="B80" s="166"/>
      <c r="M80" s="329"/>
      <c r="N80" s="158"/>
      <c r="O80" s="158"/>
      <c r="P80" s="184"/>
      <c r="Q80" s="185"/>
      <c r="R80" s="186"/>
      <c r="S80" s="187"/>
      <c r="T80" s="188"/>
      <c r="U80" s="188"/>
      <c r="V80" s="188"/>
      <c r="W80" s="189"/>
      <c r="X80" s="189"/>
      <c r="Y80" s="190"/>
      <c r="Z80" s="191"/>
      <c r="AA80" s="190"/>
      <c r="AB80" s="190"/>
      <c r="AC80" s="190"/>
    </row>
    <row r="81" spans="2:29" ht="15.5" x14ac:dyDescent="0.35">
      <c r="B81" s="166"/>
      <c r="M81" s="329"/>
      <c r="N81" s="158"/>
      <c r="O81" s="158"/>
      <c r="P81" s="184"/>
      <c r="Q81" s="185"/>
      <c r="R81" s="186"/>
      <c r="S81" s="187"/>
      <c r="T81" s="188"/>
      <c r="U81" s="188"/>
      <c r="V81" s="188"/>
      <c r="W81" s="189"/>
      <c r="X81" s="189"/>
      <c r="Y81" s="190"/>
      <c r="Z81" s="191"/>
      <c r="AA81" s="190"/>
      <c r="AB81" s="204"/>
      <c r="AC81" s="190"/>
    </row>
    <row r="82" spans="2:29" ht="15.5" x14ac:dyDescent="0.35">
      <c r="B82" s="166"/>
      <c r="M82" s="329"/>
      <c r="N82" s="158"/>
      <c r="O82" s="158"/>
      <c r="P82" s="184"/>
      <c r="Q82" s="185"/>
      <c r="R82" s="186"/>
      <c r="S82" s="187"/>
      <c r="T82" s="188"/>
      <c r="U82" s="188"/>
      <c r="V82" s="188"/>
      <c r="W82" s="189"/>
      <c r="X82" s="189"/>
      <c r="Y82" s="190"/>
      <c r="Z82" s="191"/>
      <c r="AA82" s="190"/>
      <c r="AB82" s="190"/>
      <c r="AC82" s="190"/>
    </row>
    <row r="83" spans="2:29" ht="15.5" x14ac:dyDescent="0.35">
      <c r="B83" s="166"/>
      <c r="M83" s="329"/>
      <c r="N83" s="158"/>
      <c r="O83" s="158"/>
      <c r="P83" s="184"/>
      <c r="Q83" s="185"/>
      <c r="R83" s="186"/>
      <c r="S83" s="187"/>
      <c r="T83" s="173"/>
      <c r="U83" s="192"/>
      <c r="V83" s="192"/>
      <c r="W83" s="189"/>
      <c r="X83" s="189"/>
      <c r="Y83" s="190"/>
      <c r="Z83" s="193"/>
      <c r="AA83" s="190"/>
      <c r="AB83" s="190"/>
      <c r="AC83" s="190"/>
    </row>
    <row r="84" spans="2:29" ht="15.5" x14ac:dyDescent="0.35">
      <c r="B84" s="166"/>
      <c r="M84" s="329"/>
      <c r="N84" s="158"/>
      <c r="O84" s="158"/>
      <c r="P84" s="184"/>
      <c r="Q84" s="185"/>
      <c r="R84" s="186"/>
      <c r="S84" s="187"/>
      <c r="T84" s="173"/>
      <c r="U84" s="192"/>
      <c r="V84" s="192"/>
      <c r="W84" s="189"/>
      <c r="X84" s="189"/>
      <c r="Y84" s="190"/>
      <c r="Z84" s="193"/>
      <c r="AA84" s="190"/>
      <c r="AB84" s="190"/>
      <c r="AC84" s="190"/>
    </row>
    <row r="85" spans="2:29" ht="15.5" x14ac:dyDescent="0.35">
      <c r="B85" s="166"/>
      <c r="M85" s="329"/>
      <c r="N85" s="158"/>
      <c r="O85" s="158"/>
      <c r="P85" s="184"/>
      <c r="Q85" s="185"/>
      <c r="R85" s="186"/>
      <c r="S85" s="187"/>
      <c r="T85" s="173"/>
      <c r="U85" s="192"/>
      <c r="V85" s="192"/>
      <c r="W85" s="189"/>
      <c r="X85" s="189"/>
      <c r="Y85" s="190"/>
      <c r="Z85" s="193"/>
      <c r="AA85" s="190"/>
      <c r="AB85" s="190"/>
      <c r="AC85" s="190"/>
    </row>
    <row r="86" spans="2:29" ht="15.5" x14ac:dyDescent="0.35">
      <c r="B86" s="166"/>
      <c r="M86" s="329"/>
      <c r="N86" s="158"/>
      <c r="O86" s="158"/>
      <c r="P86" s="168"/>
      <c r="Q86" s="194"/>
      <c r="R86" s="195"/>
      <c r="S86" s="195"/>
      <c r="T86" s="192"/>
      <c r="U86" s="192"/>
      <c r="V86" s="192"/>
      <c r="W86" s="192"/>
      <c r="X86" s="192"/>
      <c r="Y86" s="190"/>
      <c r="Z86" s="196"/>
      <c r="AA86" s="190"/>
      <c r="AB86" s="197"/>
      <c r="AC86" s="190"/>
    </row>
    <row r="87" spans="2:29" ht="15.5" x14ac:dyDescent="0.35">
      <c r="B87" s="166"/>
      <c r="M87" s="329"/>
      <c r="N87" s="198"/>
      <c r="O87" s="158"/>
      <c r="P87" s="184"/>
      <c r="Q87" s="185"/>
      <c r="R87" s="186"/>
      <c r="S87" s="187"/>
      <c r="T87" s="330"/>
      <c r="U87" s="192"/>
      <c r="V87" s="192"/>
      <c r="W87" s="189"/>
      <c r="X87" s="192"/>
      <c r="Y87" s="190"/>
      <c r="Z87" s="193"/>
      <c r="AA87" s="190"/>
      <c r="AB87" s="190"/>
      <c r="AC87" s="190"/>
    </row>
    <row r="88" spans="2:29" ht="15.5" x14ac:dyDescent="0.35">
      <c r="B88" s="166"/>
      <c r="M88" s="329"/>
      <c r="N88" s="158"/>
      <c r="O88" s="158"/>
      <c r="P88" s="184"/>
      <c r="Q88" s="185"/>
      <c r="R88" s="186"/>
      <c r="S88" s="187"/>
      <c r="T88" s="173"/>
      <c r="U88" s="192"/>
      <c r="V88" s="192"/>
      <c r="W88" s="189"/>
      <c r="X88" s="189"/>
      <c r="Y88" s="190"/>
      <c r="Z88" s="193"/>
      <c r="AA88" s="190"/>
      <c r="AB88" s="190"/>
      <c r="AC88" s="190"/>
    </row>
    <row r="89" spans="2:29" ht="15.5" x14ac:dyDescent="0.35">
      <c r="B89" s="166"/>
      <c r="M89" s="329"/>
      <c r="N89" s="158"/>
      <c r="O89" s="158"/>
      <c r="P89" s="168"/>
      <c r="Q89" s="194"/>
      <c r="R89" s="195"/>
      <c r="S89" s="195"/>
      <c r="T89" s="192"/>
      <c r="U89" s="192"/>
      <c r="V89" s="192"/>
      <c r="W89" s="192"/>
      <c r="X89" s="192"/>
      <c r="Y89" s="190"/>
      <c r="Z89" s="196"/>
      <c r="AA89" s="190"/>
      <c r="AB89" s="197"/>
      <c r="AC89" s="190"/>
    </row>
    <row r="90" spans="2:29" ht="15.5" x14ac:dyDescent="0.35">
      <c r="B90" s="166"/>
      <c r="M90" s="329"/>
      <c r="N90" s="158"/>
      <c r="O90" s="158"/>
      <c r="P90" s="168"/>
      <c r="Q90" s="194"/>
      <c r="R90" s="195"/>
      <c r="S90" s="195"/>
      <c r="T90" s="192"/>
      <c r="U90" s="192"/>
      <c r="V90" s="192"/>
      <c r="W90" s="192"/>
      <c r="X90" s="192"/>
      <c r="Y90" s="190"/>
      <c r="Z90" s="196"/>
      <c r="AA90" s="190"/>
      <c r="AB90" s="197"/>
      <c r="AC90" s="190"/>
    </row>
    <row r="91" spans="2:29" ht="15.5" x14ac:dyDescent="0.35">
      <c r="B91" s="166"/>
      <c r="M91" s="329"/>
      <c r="N91" s="158"/>
      <c r="O91" s="158"/>
      <c r="P91" s="168"/>
      <c r="Q91" s="194"/>
      <c r="R91" s="195"/>
      <c r="S91" s="195"/>
      <c r="T91" s="192"/>
      <c r="U91" s="192"/>
      <c r="V91" s="192"/>
      <c r="W91" s="192"/>
      <c r="X91" s="192"/>
      <c r="Y91" s="190"/>
      <c r="Z91" s="196"/>
      <c r="AA91" s="190"/>
      <c r="AB91" s="197"/>
      <c r="AC91" s="190"/>
    </row>
    <row r="92" spans="2:29" ht="15.5" x14ac:dyDescent="0.35">
      <c r="B92" s="166"/>
      <c r="M92" s="329"/>
      <c r="N92" s="158"/>
      <c r="O92" s="158"/>
      <c r="P92" s="184"/>
      <c r="Q92" s="185"/>
      <c r="R92" s="186"/>
      <c r="S92" s="187"/>
      <c r="T92" s="330"/>
      <c r="U92" s="192"/>
      <c r="V92" s="192"/>
      <c r="W92" s="189"/>
      <c r="X92" s="189"/>
      <c r="Y92" s="190"/>
      <c r="Z92" s="193"/>
      <c r="AA92" s="190"/>
      <c r="AB92" s="190"/>
      <c r="AC92" s="190"/>
    </row>
    <row r="93" spans="2:29" ht="15.5" x14ac:dyDescent="0.35">
      <c r="B93" s="166"/>
      <c r="M93" s="329"/>
      <c r="N93" s="158"/>
      <c r="O93" s="158"/>
      <c r="P93" s="184"/>
      <c r="Q93" s="185"/>
      <c r="R93" s="186"/>
      <c r="S93" s="187"/>
      <c r="T93" s="173"/>
      <c r="U93" s="192"/>
      <c r="V93" s="192"/>
      <c r="W93" s="189"/>
      <c r="X93" s="189"/>
      <c r="Y93" s="190"/>
      <c r="Z93" s="193"/>
      <c r="AA93" s="190"/>
      <c r="AB93" s="190"/>
      <c r="AC93" s="190"/>
    </row>
    <row r="94" spans="2:29" ht="15.5" x14ac:dyDescent="0.35">
      <c r="B94" s="166"/>
      <c r="M94" s="329"/>
      <c r="N94" s="158"/>
      <c r="O94" s="158"/>
      <c r="P94" s="168"/>
      <c r="Q94" s="194"/>
      <c r="R94" s="195"/>
      <c r="S94" s="195"/>
      <c r="T94" s="192"/>
      <c r="U94" s="192"/>
      <c r="V94" s="192"/>
      <c r="W94" s="192"/>
      <c r="X94" s="189"/>
      <c r="Y94" s="190"/>
      <c r="Z94" s="196"/>
      <c r="AA94" s="190"/>
      <c r="AB94" s="197"/>
      <c r="AC94" s="190"/>
    </row>
    <row r="95" spans="2:29" ht="15.5" x14ac:dyDescent="0.35">
      <c r="B95" s="166"/>
      <c r="M95" s="329"/>
      <c r="N95" s="158"/>
      <c r="O95" s="158"/>
      <c r="P95" s="168"/>
      <c r="Q95" s="194"/>
      <c r="R95" s="195"/>
      <c r="S95" s="195"/>
      <c r="T95" s="192"/>
      <c r="U95" s="192"/>
      <c r="V95" s="192"/>
      <c r="W95" s="192"/>
      <c r="X95" s="189"/>
      <c r="Y95" s="190"/>
      <c r="Z95" s="196"/>
      <c r="AA95" s="190"/>
      <c r="AB95" s="197"/>
      <c r="AC95" s="190"/>
    </row>
    <row r="96" spans="2:29" ht="15.5" x14ac:dyDescent="0.35">
      <c r="B96" s="166"/>
      <c r="M96" s="329"/>
      <c r="N96" s="158"/>
      <c r="O96" s="158"/>
      <c r="P96" s="184"/>
      <c r="Q96" s="185"/>
      <c r="R96" s="186"/>
      <c r="S96" s="187"/>
      <c r="T96" s="173"/>
      <c r="U96" s="192"/>
      <c r="V96" s="192"/>
      <c r="W96" s="189"/>
      <c r="X96" s="189"/>
      <c r="Y96" s="190"/>
      <c r="Z96" s="193"/>
      <c r="AA96" s="190"/>
      <c r="AB96" s="190"/>
      <c r="AC96" s="190"/>
    </row>
    <row r="97" spans="2:29" ht="15.5" x14ac:dyDescent="0.35">
      <c r="B97" s="166"/>
      <c r="M97" s="329"/>
      <c r="N97" s="158"/>
      <c r="O97" s="158"/>
      <c r="P97" s="168"/>
      <c r="Q97" s="194"/>
      <c r="R97" s="195"/>
      <c r="S97" s="195"/>
      <c r="T97" s="192"/>
      <c r="U97" s="192"/>
      <c r="V97" s="192"/>
      <c r="W97" s="192"/>
      <c r="X97" s="192"/>
      <c r="Y97" s="190"/>
      <c r="Z97" s="196"/>
      <c r="AA97" s="190"/>
      <c r="AB97" s="197"/>
      <c r="AC97" s="190"/>
    </row>
    <row r="98" spans="2:29" ht="15.5" x14ac:dyDescent="0.35">
      <c r="B98" s="166"/>
      <c r="M98" s="329"/>
      <c r="N98" s="158"/>
      <c r="O98" s="158"/>
      <c r="P98" s="184"/>
      <c r="Q98" s="185"/>
      <c r="R98" s="186"/>
      <c r="S98" s="187"/>
      <c r="T98" s="173"/>
      <c r="U98" s="192"/>
      <c r="V98" s="192"/>
      <c r="W98" s="189"/>
      <c r="X98" s="189"/>
      <c r="Y98" s="190"/>
      <c r="Z98" s="193"/>
      <c r="AA98" s="190"/>
      <c r="AB98" s="190"/>
      <c r="AC98" s="190"/>
    </row>
    <row r="99" spans="2:29" ht="15.5" x14ac:dyDescent="0.35">
      <c r="B99" s="166"/>
      <c r="M99" s="329"/>
      <c r="N99" s="167"/>
      <c r="O99" s="158"/>
      <c r="P99" s="168"/>
      <c r="Q99" s="194"/>
      <c r="R99" s="195"/>
      <c r="S99" s="195"/>
      <c r="T99" s="192"/>
      <c r="U99" s="192"/>
      <c r="V99" s="192"/>
      <c r="W99" s="192"/>
      <c r="X99" s="192"/>
      <c r="Y99" s="222"/>
      <c r="Z99" s="223"/>
      <c r="AA99" s="222"/>
      <c r="AB99" s="222"/>
      <c r="AC99" s="190"/>
    </row>
    <row r="100" spans="2:29" ht="15.5" x14ac:dyDescent="0.35">
      <c r="B100" s="166"/>
      <c r="M100" s="329"/>
      <c r="N100" s="158"/>
      <c r="O100" s="199"/>
      <c r="P100" s="200"/>
      <c r="Q100" s="201"/>
      <c r="R100" s="208"/>
      <c r="S100" s="202"/>
      <c r="T100" s="203"/>
      <c r="U100" s="203"/>
      <c r="V100" s="203"/>
      <c r="W100" s="192"/>
      <c r="X100" s="192"/>
      <c r="Y100" s="190"/>
      <c r="Z100" s="193"/>
      <c r="AA100" s="190"/>
      <c r="AB100" s="190"/>
      <c r="AC100" s="190"/>
    </row>
    <row r="101" spans="2:29" ht="15.5" x14ac:dyDescent="0.35">
      <c r="B101" s="166"/>
      <c r="M101" s="329"/>
      <c r="N101" s="158"/>
      <c r="O101" s="199"/>
      <c r="P101" s="200"/>
      <c r="Q101" s="201"/>
      <c r="R101" s="208"/>
      <c r="S101" s="202"/>
      <c r="T101" s="203"/>
      <c r="U101" s="203"/>
      <c r="V101" s="203"/>
      <c r="W101" s="192"/>
      <c r="X101" s="192"/>
      <c r="Y101" s="190"/>
      <c r="Z101" s="193"/>
      <c r="AA101" s="190"/>
      <c r="AB101" s="190"/>
      <c r="AC101" s="190"/>
    </row>
    <row r="102" spans="2:29" ht="15.5" x14ac:dyDescent="0.35">
      <c r="B102" s="166"/>
      <c r="M102" s="329"/>
      <c r="N102" s="158"/>
      <c r="O102" s="199"/>
      <c r="P102" s="200"/>
      <c r="Q102" s="201"/>
      <c r="R102" s="208"/>
      <c r="S102" s="202"/>
      <c r="T102" s="339"/>
      <c r="U102" s="203"/>
      <c r="V102" s="203"/>
      <c r="W102" s="192"/>
      <c r="X102" s="192"/>
      <c r="Y102" s="190"/>
      <c r="Z102" s="193"/>
      <c r="AA102" s="190"/>
      <c r="AB102" s="190"/>
      <c r="AC102" s="190"/>
    </row>
    <row r="103" spans="2:29" ht="15.5" x14ac:dyDescent="0.35">
      <c r="B103" s="166"/>
      <c r="M103" s="329"/>
      <c r="N103" s="158"/>
      <c r="O103" s="205"/>
      <c r="P103" s="209"/>
      <c r="Q103" s="210"/>
      <c r="R103" s="208"/>
      <c r="S103" s="202"/>
      <c r="T103" s="331"/>
      <c r="U103" s="203"/>
      <c r="V103" s="203"/>
      <c r="W103" s="192"/>
      <c r="X103" s="192"/>
      <c r="Y103" s="190"/>
      <c r="Z103" s="193"/>
      <c r="AA103" s="190"/>
      <c r="AB103" s="190"/>
      <c r="AC103" s="190"/>
    </row>
    <row r="104" spans="2:29" ht="15.5" x14ac:dyDescent="0.35">
      <c r="B104" s="166"/>
      <c r="M104" s="329"/>
      <c r="N104" s="158"/>
      <c r="O104" s="205"/>
      <c r="P104" s="209"/>
      <c r="Q104" s="210"/>
      <c r="R104" s="195"/>
      <c r="S104" s="202"/>
      <c r="T104" s="211"/>
      <c r="U104" s="203"/>
      <c r="V104" s="203"/>
      <c r="W104" s="192"/>
      <c r="X104" s="192"/>
      <c r="Y104" s="190"/>
      <c r="Z104" s="193"/>
      <c r="AA104" s="190"/>
      <c r="AB104" s="190"/>
      <c r="AC104" s="190"/>
    </row>
    <row r="105" spans="2:29" ht="15.5" x14ac:dyDescent="0.35">
      <c r="B105" s="166"/>
      <c r="M105" s="329"/>
      <c r="N105" s="158"/>
      <c r="O105" s="158"/>
      <c r="P105" s="184"/>
      <c r="Q105" s="185"/>
      <c r="R105" s="186"/>
      <c r="S105" s="187"/>
      <c r="T105" s="173"/>
      <c r="U105" s="192"/>
      <c r="V105" s="192"/>
      <c r="W105" s="189"/>
      <c r="X105" s="189"/>
      <c r="Y105" s="190"/>
      <c r="Z105" s="193"/>
      <c r="AA105" s="190"/>
      <c r="AB105" s="190"/>
      <c r="AC105" s="190"/>
    </row>
    <row r="106" spans="2:29" ht="15.5" x14ac:dyDescent="0.35">
      <c r="B106" s="166"/>
      <c r="M106" s="329"/>
      <c r="N106" s="158"/>
      <c r="O106" s="199"/>
      <c r="P106" s="200"/>
      <c r="Q106" s="201"/>
      <c r="R106" s="195"/>
      <c r="S106" s="202"/>
      <c r="T106" s="339"/>
      <c r="U106" s="203"/>
      <c r="V106" s="203"/>
      <c r="W106" s="192"/>
      <c r="X106" s="192"/>
      <c r="Y106" s="190"/>
      <c r="Z106" s="193"/>
      <c r="AA106" s="190"/>
      <c r="AB106" s="190"/>
      <c r="AC106" s="190"/>
    </row>
    <row r="107" spans="2:29" ht="15.5" x14ac:dyDescent="0.35">
      <c r="B107" s="166"/>
      <c r="M107" s="329"/>
      <c r="N107" s="158"/>
      <c r="O107" s="199"/>
      <c r="P107" s="200"/>
      <c r="Q107" s="201"/>
      <c r="R107" s="208"/>
      <c r="S107" s="202"/>
      <c r="T107" s="203"/>
      <c r="U107" s="203"/>
      <c r="V107" s="203"/>
      <c r="W107" s="192"/>
      <c r="X107" s="192"/>
      <c r="Y107" s="190"/>
      <c r="Z107" s="193"/>
      <c r="AA107" s="190"/>
      <c r="AB107" s="190"/>
      <c r="AC107" s="190"/>
    </row>
    <row r="108" spans="2:29" ht="15.5" x14ac:dyDescent="0.35">
      <c r="B108" s="166"/>
      <c r="M108" s="329"/>
      <c r="N108" s="158"/>
      <c r="O108" s="205"/>
      <c r="P108" s="209"/>
      <c r="Q108" s="210"/>
      <c r="R108" s="208"/>
      <c r="S108" s="202"/>
      <c r="T108" s="331"/>
      <c r="U108" s="203"/>
      <c r="V108" s="203"/>
      <c r="W108" s="192"/>
      <c r="X108" s="192"/>
      <c r="Y108" s="190"/>
      <c r="Z108" s="193"/>
      <c r="AA108" s="190"/>
      <c r="AB108" s="190"/>
      <c r="AC108" s="190"/>
    </row>
    <row r="109" spans="2:29" ht="15.5" x14ac:dyDescent="0.35">
      <c r="B109" s="166"/>
      <c r="M109" s="329"/>
      <c r="N109" s="158"/>
      <c r="O109" s="205"/>
      <c r="P109" s="206"/>
      <c r="Q109" s="207"/>
      <c r="R109" s="208"/>
      <c r="S109" s="202"/>
      <c r="T109" s="346"/>
      <c r="U109" s="203"/>
      <c r="V109" s="203"/>
      <c r="W109" s="192"/>
      <c r="X109" s="192"/>
      <c r="Y109" s="190"/>
      <c r="Z109" s="193"/>
      <c r="AA109" s="190"/>
      <c r="AB109" s="190"/>
      <c r="AC109" s="190"/>
    </row>
    <row r="110" spans="2:29" ht="15.5" x14ac:dyDescent="0.35">
      <c r="B110" s="166"/>
      <c r="M110" s="329"/>
      <c r="N110" s="158"/>
      <c r="O110" s="205"/>
      <c r="P110" s="209"/>
      <c r="Q110" s="210"/>
      <c r="R110" s="208"/>
      <c r="S110" s="202"/>
      <c r="T110" s="211"/>
      <c r="U110" s="203"/>
      <c r="V110" s="203"/>
      <c r="W110" s="192"/>
      <c r="X110" s="192"/>
      <c r="Y110" s="190"/>
      <c r="Z110" s="193"/>
      <c r="AA110" s="190"/>
      <c r="AB110" s="190"/>
      <c r="AC110" s="190"/>
    </row>
    <row r="111" spans="2:29" ht="15.5" x14ac:dyDescent="0.35">
      <c r="B111" s="166"/>
      <c r="M111" s="329"/>
      <c r="N111" s="158"/>
      <c r="O111" s="199"/>
      <c r="P111" s="200"/>
      <c r="Q111" s="201"/>
      <c r="R111" s="208"/>
      <c r="S111" s="202"/>
      <c r="T111" s="203"/>
      <c r="U111" s="203"/>
      <c r="V111" s="203"/>
      <c r="W111" s="192"/>
      <c r="X111" s="192"/>
      <c r="Y111" s="190"/>
      <c r="Z111" s="193"/>
      <c r="AA111" s="190"/>
      <c r="AB111" s="190"/>
      <c r="AC111" s="190"/>
    </row>
    <row r="112" spans="2:29" ht="15.5" x14ac:dyDescent="0.35">
      <c r="B112" s="166"/>
      <c r="M112" s="329"/>
      <c r="N112" s="158"/>
      <c r="O112" s="158"/>
      <c r="P112" s="168"/>
      <c r="Q112" s="194"/>
      <c r="R112" s="195"/>
      <c r="S112" s="202"/>
      <c r="T112" s="192"/>
      <c r="U112" s="192"/>
      <c r="V112" s="192"/>
      <c r="W112" s="192"/>
      <c r="X112" s="192"/>
      <c r="Y112" s="190"/>
      <c r="Z112" s="212"/>
      <c r="AA112" s="190"/>
      <c r="AB112" s="190"/>
      <c r="AC112" s="190"/>
    </row>
    <row r="113" spans="2:29" ht="15.5" x14ac:dyDescent="0.35">
      <c r="B113" s="166"/>
      <c r="M113" s="329"/>
      <c r="N113" s="158"/>
      <c r="O113" s="199"/>
      <c r="P113" s="200"/>
      <c r="Q113" s="201"/>
      <c r="R113" s="208"/>
      <c r="S113" s="202"/>
      <c r="T113" s="203"/>
      <c r="U113" s="203"/>
      <c r="V113" s="203"/>
      <c r="W113" s="192"/>
      <c r="X113" s="192"/>
      <c r="Y113" s="190"/>
      <c r="Z113" s="193"/>
      <c r="AA113" s="190"/>
      <c r="AB113" s="190"/>
      <c r="AC113" s="190"/>
    </row>
    <row r="114" spans="2:29" ht="15.5" x14ac:dyDescent="0.35">
      <c r="B114" s="166"/>
      <c r="M114" s="329"/>
      <c r="N114" s="158"/>
      <c r="O114" s="158"/>
      <c r="P114" s="168"/>
      <c r="Q114" s="194"/>
      <c r="R114" s="195"/>
      <c r="S114" s="195"/>
      <c r="T114" s="192"/>
      <c r="U114" s="192"/>
      <c r="V114" s="192"/>
      <c r="W114" s="192"/>
      <c r="X114" s="192"/>
      <c r="Y114" s="190"/>
      <c r="Z114" s="196"/>
      <c r="AA114" s="190"/>
      <c r="AB114" s="197"/>
      <c r="AC114" s="190"/>
    </row>
    <row r="115" spans="2:29" ht="15.5" x14ac:dyDescent="0.35">
      <c r="B115" s="166"/>
      <c r="M115" s="329"/>
      <c r="N115" s="158"/>
      <c r="O115" s="158"/>
      <c r="P115" s="168"/>
      <c r="Q115" s="194"/>
      <c r="R115" s="195"/>
      <c r="S115" s="195"/>
      <c r="T115" s="192"/>
      <c r="U115" s="192"/>
      <c r="V115" s="192"/>
      <c r="W115" s="192"/>
      <c r="X115" s="192"/>
      <c r="Y115" s="190"/>
      <c r="Z115" s="196"/>
      <c r="AA115" s="190"/>
      <c r="AB115" s="197"/>
      <c r="AC115" s="229"/>
    </row>
    <row r="116" spans="2:29" ht="15.5" x14ac:dyDescent="0.35">
      <c r="B116" s="166"/>
      <c r="M116" s="329"/>
      <c r="N116" s="158"/>
      <c r="O116" s="158"/>
      <c r="P116" s="168"/>
      <c r="Q116" s="194"/>
      <c r="R116" s="195"/>
      <c r="S116" s="195"/>
      <c r="T116" s="342"/>
      <c r="U116" s="192"/>
      <c r="V116" s="192"/>
      <c r="W116" s="192"/>
      <c r="X116" s="192"/>
      <c r="Y116" s="190"/>
      <c r="Z116" s="196"/>
      <c r="AA116" s="190"/>
      <c r="AB116" s="197"/>
      <c r="AC116" s="190"/>
    </row>
    <row r="117" spans="2:29" ht="15.5" x14ac:dyDescent="0.35">
      <c r="B117" s="166"/>
      <c r="M117" s="329"/>
      <c r="N117" s="158"/>
      <c r="O117" s="158"/>
      <c r="P117" s="184"/>
      <c r="Q117" s="185"/>
      <c r="R117" s="186"/>
      <c r="S117" s="187"/>
      <c r="T117" s="330"/>
      <c r="U117" s="192"/>
      <c r="V117" s="192"/>
      <c r="W117" s="189"/>
      <c r="X117" s="189"/>
      <c r="Y117" s="190"/>
      <c r="Z117" s="193"/>
      <c r="AA117" s="190"/>
      <c r="AB117" s="190"/>
      <c r="AC117" s="224"/>
    </row>
    <row r="118" spans="2:29" ht="15.5" x14ac:dyDescent="0.35">
      <c r="B118" s="166"/>
      <c r="M118" s="329"/>
      <c r="N118" s="221"/>
      <c r="O118" s="158"/>
      <c r="P118" s="216"/>
      <c r="Q118" s="195"/>
      <c r="R118" s="195"/>
      <c r="S118" s="192"/>
      <c r="T118" s="192"/>
      <c r="U118" s="192"/>
      <c r="V118" s="192"/>
      <c r="W118" s="192"/>
      <c r="X118" s="222"/>
      <c r="Y118" s="347"/>
      <c r="Z118" s="224"/>
      <c r="AA118" s="173"/>
      <c r="AB118" s="173"/>
      <c r="AC118" s="190"/>
    </row>
    <row r="119" spans="2:29" ht="15.5" x14ac:dyDescent="0.35">
      <c r="B119" s="166"/>
      <c r="M119" s="329"/>
      <c r="N119" s="158"/>
      <c r="O119" s="199"/>
      <c r="P119" s="200"/>
      <c r="Q119" s="201"/>
      <c r="R119" s="208"/>
      <c r="S119" s="202"/>
      <c r="T119" s="203"/>
      <c r="U119" s="203"/>
      <c r="V119" s="203"/>
      <c r="W119" s="192"/>
      <c r="X119" s="192"/>
      <c r="Y119" s="190"/>
      <c r="Z119" s="193"/>
      <c r="AA119" s="190"/>
      <c r="AB119" s="190"/>
      <c r="AC119" s="190"/>
    </row>
    <row r="120" spans="2:29" ht="15.5" x14ac:dyDescent="0.35">
      <c r="B120" s="166"/>
      <c r="M120" s="329"/>
      <c r="N120" s="198"/>
      <c r="O120" s="158"/>
      <c r="P120" s="168"/>
      <c r="Q120" s="194"/>
      <c r="R120" s="195"/>
      <c r="S120" s="195"/>
      <c r="T120" s="192"/>
      <c r="U120" s="192"/>
      <c r="V120" s="192"/>
      <c r="W120" s="192"/>
      <c r="X120" s="192"/>
      <c r="Y120" s="190"/>
      <c r="Z120" s="196"/>
      <c r="AA120" s="190"/>
      <c r="AB120" s="190"/>
      <c r="AC120" s="190"/>
    </row>
    <row r="121" spans="2:29" ht="15.5" x14ac:dyDescent="0.35">
      <c r="B121" s="166"/>
      <c r="M121" s="329"/>
      <c r="N121" s="158"/>
      <c r="O121" s="158"/>
      <c r="P121" s="168"/>
      <c r="Q121" s="194"/>
      <c r="R121" s="195"/>
      <c r="S121" s="195"/>
      <c r="T121" s="192"/>
      <c r="U121" s="192"/>
      <c r="V121" s="192"/>
      <c r="W121" s="192"/>
      <c r="X121" s="192"/>
      <c r="Y121" s="190"/>
      <c r="Z121" s="196"/>
      <c r="AA121" s="190"/>
      <c r="AB121" s="197"/>
      <c r="AC121" s="224"/>
    </row>
    <row r="122" spans="2:29" ht="15.5" x14ac:dyDescent="0.35">
      <c r="B122" s="166"/>
      <c r="M122" s="329"/>
      <c r="N122" s="158"/>
      <c r="O122" s="158"/>
      <c r="P122" s="184"/>
      <c r="Q122" s="185"/>
      <c r="R122" s="186"/>
      <c r="S122" s="187"/>
      <c r="T122" s="173"/>
      <c r="U122" s="192"/>
      <c r="V122" s="192"/>
      <c r="W122" s="189"/>
      <c r="X122" s="189"/>
      <c r="Y122" s="190"/>
      <c r="Z122" s="193"/>
      <c r="AA122" s="190"/>
      <c r="AB122" s="190"/>
      <c r="AC122" s="190"/>
    </row>
    <row r="123" spans="2:29" ht="15.5" x14ac:dyDescent="0.35">
      <c r="B123" s="166"/>
      <c r="M123" s="329"/>
      <c r="N123" s="158"/>
      <c r="O123" s="158"/>
      <c r="P123" s="168"/>
      <c r="Q123" s="194"/>
      <c r="R123" s="195"/>
      <c r="S123" s="195"/>
      <c r="T123" s="342"/>
      <c r="U123" s="192"/>
      <c r="V123" s="192"/>
      <c r="W123" s="192"/>
      <c r="X123" s="192"/>
      <c r="Y123" s="190"/>
      <c r="Z123" s="196"/>
      <c r="AA123" s="190"/>
      <c r="AB123" s="197"/>
      <c r="AC123" s="190"/>
    </row>
    <row r="124" spans="2:29" ht="15.5" x14ac:dyDescent="0.35">
      <c r="B124" s="166"/>
      <c r="M124" s="329"/>
      <c r="N124" s="158"/>
      <c r="O124" s="158"/>
      <c r="P124" s="184"/>
      <c r="Q124" s="185"/>
      <c r="R124" s="186"/>
      <c r="S124" s="187"/>
      <c r="T124" s="173"/>
      <c r="U124" s="192"/>
      <c r="V124" s="192"/>
      <c r="W124" s="189"/>
      <c r="X124" s="189"/>
      <c r="Y124" s="190"/>
      <c r="Z124" s="193"/>
      <c r="AA124" s="190"/>
      <c r="AB124" s="190"/>
      <c r="AC124" s="190"/>
    </row>
    <row r="125" spans="2:29" ht="15.5" x14ac:dyDescent="0.35">
      <c r="B125" s="166"/>
      <c r="M125" s="329"/>
      <c r="N125" s="158"/>
      <c r="O125" s="158"/>
      <c r="P125" s="184"/>
      <c r="Q125" s="185"/>
      <c r="R125" s="186"/>
      <c r="S125" s="187"/>
      <c r="T125" s="330"/>
      <c r="U125" s="192"/>
      <c r="V125" s="192"/>
      <c r="W125" s="189"/>
      <c r="X125" s="189"/>
      <c r="Y125" s="190"/>
      <c r="Z125" s="193"/>
      <c r="AA125" s="190"/>
      <c r="AB125" s="190"/>
      <c r="AC125" s="190"/>
    </row>
    <row r="126" spans="2:29" ht="15.5" x14ac:dyDescent="0.35">
      <c r="B126" s="166"/>
      <c r="M126" s="329"/>
      <c r="N126" s="158"/>
      <c r="O126" s="158"/>
      <c r="P126" s="168"/>
      <c r="Q126" s="194"/>
      <c r="R126" s="195"/>
      <c r="S126" s="195"/>
      <c r="T126" s="342"/>
      <c r="U126" s="192"/>
      <c r="V126" s="192"/>
      <c r="W126" s="192"/>
      <c r="X126" s="192"/>
      <c r="Y126" s="190"/>
      <c r="Z126" s="196"/>
      <c r="AA126" s="190"/>
      <c r="AB126" s="197"/>
      <c r="AC126" s="190"/>
    </row>
    <row r="127" spans="2:29" ht="15.5" x14ac:dyDescent="0.35">
      <c r="B127" s="166"/>
      <c r="M127" s="329"/>
      <c r="N127" s="158"/>
      <c r="O127" s="158"/>
      <c r="P127" s="184"/>
      <c r="Q127" s="185"/>
      <c r="R127" s="186"/>
      <c r="S127" s="187"/>
      <c r="T127" s="330"/>
      <c r="U127" s="192"/>
      <c r="V127" s="192"/>
      <c r="W127" s="189"/>
      <c r="X127" s="189"/>
      <c r="Y127" s="190"/>
      <c r="Z127" s="193"/>
      <c r="AA127" s="190"/>
      <c r="AB127" s="190"/>
      <c r="AC127" s="190"/>
    </row>
    <row r="128" spans="2:29" ht="15.5" x14ac:dyDescent="0.35">
      <c r="B128" s="166"/>
      <c r="M128" s="329"/>
      <c r="N128" s="158"/>
      <c r="O128" s="158"/>
      <c r="P128" s="168"/>
      <c r="Q128" s="194"/>
      <c r="R128" s="195"/>
      <c r="S128" s="195"/>
      <c r="T128" s="192"/>
      <c r="U128" s="192"/>
      <c r="V128" s="192"/>
      <c r="W128" s="192"/>
      <c r="X128" s="192"/>
      <c r="Y128" s="190"/>
      <c r="Z128" s="196"/>
      <c r="AA128" s="190"/>
      <c r="AB128" s="197"/>
      <c r="AC128" s="190"/>
    </row>
    <row r="129" spans="2:29" ht="15.5" x14ac:dyDescent="0.35">
      <c r="B129" s="166"/>
      <c r="M129" s="329"/>
      <c r="N129" s="158"/>
      <c r="O129" s="199"/>
      <c r="P129" s="200"/>
      <c r="Q129" s="201"/>
      <c r="R129" s="208"/>
      <c r="S129" s="202"/>
      <c r="T129" s="339"/>
      <c r="U129" s="203"/>
      <c r="V129" s="203"/>
      <c r="W129" s="192"/>
      <c r="X129" s="192"/>
      <c r="Y129" s="190"/>
      <c r="Z129" s="193"/>
      <c r="AA129" s="190"/>
      <c r="AB129" s="190"/>
      <c r="AC129" s="190"/>
    </row>
    <row r="130" spans="2:29" ht="15.5" x14ac:dyDescent="0.35">
      <c r="B130" s="166"/>
      <c r="M130" s="329"/>
      <c r="N130" s="158"/>
      <c r="O130" s="199"/>
      <c r="P130" s="200"/>
      <c r="Q130" s="201"/>
      <c r="R130" s="208"/>
      <c r="S130" s="202"/>
      <c r="T130" s="339"/>
      <c r="U130" s="203"/>
      <c r="V130" s="203"/>
      <c r="W130" s="192"/>
      <c r="X130" s="192"/>
      <c r="Y130" s="190"/>
      <c r="Z130" s="193"/>
      <c r="AA130" s="190"/>
      <c r="AB130" s="190"/>
      <c r="AC130" s="190"/>
    </row>
    <row r="131" spans="2:29" ht="15.5" x14ac:dyDescent="0.35">
      <c r="B131" s="166"/>
      <c r="M131" s="329"/>
      <c r="N131" s="158"/>
      <c r="O131" s="199"/>
      <c r="P131" s="200"/>
      <c r="Q131" s="201"/>
      <c r="R131" s="208"/>
      <c r="S131" s="202"/>
      <c r="T131" s="339"/>
      <c r="U131" s="203"/>
      <c r="V131" s="203"/>
      <c r="W131" s="192"/>
      <c r="X131" s="192"/>
      <c r="Y131" s="190"/>
      <c r="Z131" s="193"/>
      <c r="AA131" s="190"/>
      <c r="AB131" s="190"/>
      <c r="AC131" s="190"/>
    </row>
    <row r="132" spans="2:29" ht="15.5" x14ac:dyDescent="0.35">
      <c r="B132" s="166"/>
      <c r="M132" s="329"/>
      <c r="N132" s="158"/>
      <c r="O132" s="158"/>
      <c r="P132" s="168"/>
      <c r="Q132" s="194"/>
      <c r="R132" s="195"/>
      <c r="S132" s="195"/>
      <c r="T132" s="192"/>
      <c r="U132" s="192"/>
      <c r="V132" s="192"/>
      <c r="W132" s="192"/>
      <c r="X132" s="192"/>
      <c r="Y132" s="190"/>
      <c r="Z132" s="196"/>
      <c r="AA132" s="190"/>
      <c r="AB132" s="197"/>
      <c r="AC132" s="190"/>
    </row>
    <row r="133" spans="2:29" ht="15.5" x14ac:dyDescent="0.35">
      <c r="B133" s="166"/>
      <c r="M133" s="329"/>
      <c r="N133" s="158"/>
      <c r="O133" s="158"/>
      <c r="P133" s="184"/>
      <c r="Q133" s="185"/>
      <c r="R133" s="186"/>
      <c r="S133" s="187"/>
      <c r="T133" s="173"/>
      <c r="U133" s="192"/>
      <c r="V133" s="192"/>
      <c r="W133" s="189"/>
      <c r="X133" s="192"/>
      <c r="Y133" s="190"/>
      <c r="Z133" s="193"/>
      <c r="AA133" s="190"/>
      <c r="AB133" s="190"/>
      <c r="AC133" s="190"/>
    </row>
    <row r="134" spans="2:29" ht="15.5" x14ac:dyDescent="0.35">
      <c r="B134" s="166"/>
      <c r="M134" s="329"/>
      <c r="N134" s="158"/>
      <c r="O134" s="158"/>
      <c r="P134" s="168"/>
      <c r="Q134" s="194"/>
      <c r="R134" s="195"/>
      <c r="S134" s="195"/>
      <c r="T134" s="192"/>
      <c r="U134" s="192"/>
      <c r="V134" s="192"/>
      <c r="W134" s="192"/>
      <c r="X134" s="192"/>
      <c r="Y134" s="190"/>
      <c r="Z134" s="196"/>
      <c r="AA134" s="190"/>
      <c r="AB134" s="197"/>
      <c r="AC134" s="190"/>
    </row>
    <row r="135" spans="2:29" ht="15.5" x14ac:dyDescent="0.35">
      <c r="B135" s="166"/>
      <c r="M135" s="329"/>
      <c r="N135" s="158"/>
      <c r="O135" s="158"/>
      <c r="P135" s="184"/>
      <c r="Q135" s="185"/>
      <c r="R135" s="186"/>
      <c r="S135" s="187"/>
      <c r="T135" s="340"/>
      <c r="U135" s="188"/>
      <c r="V135" s="188"/>
      <c r="W135" s="189"/>
      <c r="X135" s="189"/>
      <c r="Y135" s="190"/>
      <c r="Z135" s="191"/>
      <c r="AA135" s="190"/>
      <c r="AB135" s="204"/>
      <c r="AC135" s="190"/>
    </row>
    <row r="136" spans="2:29" ht="15.5" x14ac:dyDescent="0.35">
      <c r="B136" s="166"/>
      <c r="M136" s="329"/>
      <c r="N136" s="158"/>
      <c r="O136" s="199"/>
      <c r="P136" s="200"/>
      <c r="Q136" s="201"/>
      <c r="R136" s="208"/>
      <c r="S136" s="202"/>
      <c r="T136" s="339"/>
      <c r="U136" s="203"/>
      <c r="V136" s="203"/>
      <c r="W136" s="192"/>
      <c r="X136" s="192"/>
      <c r="Y136" s="190"/>
      <c r="Z136" s="193"/>
      <c r="AA136" s="190"/>
      <c r="AB136" s="190"/>
      <c r="AC136" s="190"/>
    </row>
    <row r="137" spans="2:29" ht="15.5" x14ac:dyDescent="0.35">
      <c r="B137" s="166"/>
      <c r="M137" s="329"/>
      <c r="N137" s="158"/>
      <c r="O137" s="199"/>
      <c r="P137" s="200"/>
      <c r="Q137" s="201"/>
      <c r="R137" s="208"/>
      <c r="S137" s="202"/>
      <c r="T137" s="339"/>
      <c r="U137" s="203"/>
      <c r="V137" s="203"/>
      <c r="W137" s="192"/>
      <c r="X137" s="192"/>
      <c r="Y137" s="190"/>
      <c r="Z137" s="193"/>
      <c r="AA137" s="190"/>
      <c r="AB137" s="190"/>
      <c r="AC137" s="190"/>
    </row>
    <row r="138" spans="2:29" ht="15.5" x14ac:dyDescent="0.35">
      <c r="B138" s="166"/>
      <c r="M138" s="329"/>
      <c r="N138" s="158"/>
      <c r="O138" s="158"/>
      <c r="P138" s="184"/>
      <c r="Q138" s="185"/>
      <c r="R138" s="186"/>
      <c r="S138" s="187"/>
      <c r="T138" s="173"/>
      <c r="U138" s="192"/>
      <c r="V138" s="192"/>
      <c r="W138" s="189"/>
      <c r="X138" s="189"/>
      <c r="Y138" s="190"/>
      <c r="Z138" s="193"/>
      <c r="AA138" s="190"/>
      <c r="AB138" s="190"/>
      <c r="AC138" s="190"/>
    </row>
    <row r="139" spans="2:29" ht="15.5" x14ac:dyDescent="0.35">
      <c r="B139" s="166"/>
      <c r="M139" s="329"/>
      <c r="N139" s="158"/>
      <c r="O139" s="199"/>
      <c r="P139" s="200"/>
      <c r="Q139" s="201"/>
      <c r="R139" s="195"/>
      <c r="S139" s="202"/>
      <c r="T139" s="339"/>
      <c r="U139" s="203"/>
      <c r="V139" s="203"/>
      <c r="W139" s="192"/>
      <c r="X139" s="192"/>
      <c r="Y139" s="190"/>
      <c r="Z139" s="193"/>
      <c r="AA139" s="190"/>
      <c r="AB139" s="190"/>
      <c r="AC139" s="190"/>
    </row>
    <row r="140" spans="2:29" ht="15.5" x14ac:dyDescent="0.35">
      <c r="B140" s="166"/>
      <c r="M140" s="329"/>
      <c r="N140" s="158"/>
      <c r="O140" s="158"/>
      <c r="P140" s="168"/>
      <c r="Q140" s="194"/>
      <c r="R140" s="195"/>
      <c r="S140" s="195"/>
      <c r="T140" s="192"/>
      <c r="U140" s="192"/>
      <c r="V140" s="192"/>
      <c r="W140" s="192"/>
      <c r="X140" s="192"/>
      <c r="Y140" s="190"/>
      <c r="Z140" s="212"/>
      <c r="AA140" s="190"/>
      <c r="AB140" s="190"/>
      <c r="AC140" s="190"/>
    </row>
    <row r="141" spans="2:29" ht="15.5" x14ac:dyDescent="0.35">
      <c r="B141" s="166"/>
      <c r="M141" s="329"/>
      <c r="N141" s="158"/>
      <c r="O141" s="199"/>
      <c r="P141" s="200"/>
      <c r="Q141" s="201"/>
      <c r="R141" s="208"/>
      <c r="S141" s="202"/>
      <c r="T141" s="339"/>
      <c r="U141" s="203"/>
      <c r="V141" s="203"/>
      <c r="W141" s="192"/>
      <c r="X141" s="192"/>
      <c r="Y141" s="190"/>
      <c r="Z141" s="193"/>
      <c r="AA141" s="190"/>
      <c r="AB141" s="190"/>
      <c r="AC141" s="190"/>
    </row>
    <row r="142" spans="2:29" ht="15.5" x14ac:dyDescent="0.35">
      <c r="B142" s="166"/>
      <c r="M142" s="329"/>
      <c r="N142" s="158"/>
      <c r="O142" s="158"/>
      <c r="P142" s="168"/>
      <c r="Q142" s="194"/>
      <c r="R142" s="195"/>
      <c r="S142" s="195"/>
      <c r="T142" s="330"/>
      <c r="U142" s="192"/>
      <c r="V142" s="192"/>
      <c r="W142" s="192"/>
      <c r="X142" s="192"/>
      <c r="Y142" s="190"/>
      <c r="Z142" s="196"/>
      <c r="AA142" s="190"/>
      <c r="AB142" s="197"/>
      <c r="AC142" s="190"/>
    </row>
    <row r="143" spans="2:29" ht="15.5" x14ac:dyDescent="0.35">
      <c r="B143" s="166"/>
      <c r="M143" s="329"/>
      <c r="N143" s="158"/>
      <c r="O143" s="199"/>
      <c r="P143" s="200"/>
      <c r="Q143" s="201"/>
      <c r="R143" s="195"/>
      <c r="S143" s="202"/>
      <c r="T143" s="339"/>
      <c r="U143" s="203"/>
      <c r="V143" s="203"/>
      <c r="W143" s="192"/>
      <c r="X143" s="192"/>
      <c r="Y143" s="190"/>
      <c r="Z143" s="193"/>
      <c r="AA143" s="190"/>
      <c r="AB143" s="190"/>
      <c r="AC143" s="190"/>
    </row>
    <row r="144" spans="2:29" ht="15.5" x14ac:dyDescent="0.35">
      <c r="B144" s="166"/>
      <c r="M144" s="329"/>
      <c r="N144" s="158"/>
      <c r="O144" s="205"/>
      <c r="P144" s="209"/>
      <c r="Q144" s="210"/>
      <c r="R144" s="208"/>
      <c r="S144" s="202"/>
      <c r="T144" s="211"/>
      <c r="U144" s="203"/>
      <c r="V144" s="203"/>
      <c r="W144" s="192"/>
      <c r="X144" s="192"/>
      <c r="Y144" s="190"/>
      <c r="Z144" s="193"/>
      <c r="AA144" s="190"/>
      <c r="AB144" s="190"/>
      <c r="AC144" s="190"/>
    </row>
    <row r="145" spans="2:29" ht="15.5" x14ac:dyDescent="0.35">
      <c r="B145" s="166"/>
      <c r="M145" s="329"/>
      <c r="N145" s="158"/>
      <c r="O145" s="199"/>
      <c r="P145" s="200"/>
      <c r="Q145" s="201"/>
      <c r="R145" s="208"/>
      <c r="S145" s="202"/>
      <c r="T145" s="203"/>
      <c r="U145" s="203"/>
      <c r="V145" s="203"/>
      <c r="W145" s="192"/>
      <c r="X145" s="192"/>
      <c r="Y145" s="190"/>
      <c r="Z145" s="193"/>
      <c r="AA145" s="190"/>
      <c r="AB145" s="190"/>
      <c r="AC145" s="190"/>
    </row>
    <row r="146" spans="2:29" ht="15.5" x14ac:dyDescent="0.35">
      <c r="B146" s="166"/>
      <c r="M146" s="329"/>
      <c r="N146" s="158"/>
      <c r="O146" s="158"/>
      <c r="P146" s="184"/>
      <c r="Q146" s="185"/>
      <c r="R146" s="186"/>
      <c r="S146" s="187"/>
      <c r="T146" s="188"/>
      <c r="U146" s="188"/>
      <c r="V146" s="188"/>
      <c r="W146" s="189"/>
      <c r="X146" s="189"/>
      <c r="Y146" s="190"/>
      <c r="Z146" s="191"/>
      <c r="AA146" s="190"/>
      <c r="AB146" s="204"/>
      <c r="AC146" s="190"/>
    </row>
    <row r="147" spans="2:29" ht="15.5" x14ac:dyDescent="0.35">
      <c r="B147" s="166"/>
      <c r="M147" s="329"/>
      <c r="N147" s="158"/>
      <c r="O147" s="158"/>
      <c r="P147" s="184"/>
      <c r="Q147" s="185"/>
      <c r="R147" s="186"/>
      <c r="S147" s="187"/>
      <c r="T147" s="173"/>
      <c r="U147" s="192"/>
      <c r="V147" s="192"/>
      <c r="W147" s="189"/>
      <c r="X147" s="189"/>
      <c r="Y147" s="190"/>
      <c r="Z147" s="193"/>
      <c r="AA147" s="190"/>
      <c r="AB147" s="190"/>
      <c r="AC147" s="190"/>
    </row>
    <row r="148" spans="2:29" ht="15.5" x14ac:dyDescent="0.35">
      <c r="B148" s="166"/>
      <c r="M148" s="329"/>
      <c r="N148" s="158"/>
      <c r="O148" s="158"/>
      <c r="P148" s="168"/>
      <c r="Q148" s="194"/>
      <c r="R148" s="195"/>
      <c r="S148" s="195"/>
      <c r="T148" s="192"/>
      <c r="U148" s="192"/>
      <c r="V148" s="192"/>
      <c r="W148" s="192"/>
      <c r="X148" s="192"/>
      <c r="Y148" s="222"/>
      <c r="Z148" s="223"/>
      <c r="AA148" s="222"/>
      <c r="AB148" s="222"/>
      <c r="AC148" s="190"/>
    </row>
    <row r="149" spans="2:29" ht="15.5" x14ac:dyDescent="0.35">
      <c r="B149" s="166"/>
      <c r="M149" s="329"/>
      <c r="N149" s="158"/>
      <c r="O149" s="158"/>
      <c r="P149" s="168"/>
      <c r="Q149" s="194"/>
      <c r="R149" s="195"/>
      <c r="S149" s="195"/>
      <c r="T149" s="342"/>
      <c r="U149" s="192"/>
      <c r="V149" s="192"/>
      <c r="W149" s="192"/>
      <c r="X149" s="192"/>
      <c r="Y149" s="190"/>
      <c r="Z149" s="196"/>
      <c r="AA149" s="190"/>
      <c r="AB149" s="190"/>
      <c r="AC149" s="190"/>
    </row>
    <row r="150" spans="2:29" ht="15.5" x14ac:dyDescent="0.35">
      <c r="B150" s="166"/>
      <c r="M150" s="329"/>
      <c r="N150" s="167"/>
      <c r="O150" s="158"/>
      <c r="P150" s="168"/>
      <c r="Q150" s="194"/>
      <c r="R150" s="195"/>
      <c r="S150" s="195"/>
      <c r="T150" s="192"/>
      <c r="U150" s="192"/>
      <c r="V150" s="192"/>
      <c r="W150" s="192"/>
      <c r="X150" s="192"/>
      <c r="Y150" s="222"/>
      <c r="Z150" s="223"/>
      <c r="AA150" s="190"/>
      <c r="AB150" s="222"/>
      <c r="AC150" s="224"/>
    </row>
    <row r="151" spans="2:29" ht="15.5" x14ac:dyDescent="0.35">
      <c r="B151" s="166"/>
      <c r="M151" s="329"/>
      <c r="N151" s="158"/>
      <c r="O151" s="158"/>
      <c r="P151" s="168"/>
      <c r="Q151" s="194"/>
      <c r="R151" s="195"/>
      <c r="S151" s="195"/>
      <c r="T151" s="192"/>
      <c r="U151" s="192"/>
      <c r="V151" s="192"/>
      <c r="W151" s="192"/>
      <c r="X151" s="192"/>
      <c r="Y151" s="190"/>
      <c r="Z151" s="196"/>
      <c r="AA151" s="190"/>
      <c r="AB151" s="190"/>
      <c r="AC151" s="224"/>
    </row>
    <row r="152" spans="2:29" ht="15.5" x14ac:dyDescent="0.35">
      <c r="B152" s="166"/>
      <c r="M152" s="329"/>
      <c r="N152" s="158"/>
      <c r="O152" s="158"/>
      <c r="P152" s="168"/>
      <c r="Q152" s="194"/>
      <c r="R152" s="195"/>
      <c r="S152" s="195"/>
      <c r="T152" s="192"/>
      <c r="U152" s="192"/>
      <c r="V152" s="192"/>
      <c r="W152" s="192"/>
      <c r="X152" s="192"/>
      <c r="Y152" s="190"/>
      <c r="Z152" s="196"/>
      <c r="AA152" s="190"/>
      <c r="AB152" s="190"/>
      <c r="AC152" s="190"/>
    </row>
    <row r="153" spans="2:29" ht="15.5" x14ac:dyDescent="0.35">
      <c r="B153" s="166"/>
      <c r="M153" s="329"/>
      <c r="N153" s="158"/>
      <c r="O153" s="158"/>
      <c r="P153" s="168"/>
      <c r="Q153" s="194"/>
      <c r="R153" s="195"/>
      <c r="S153" s="195"/>
      <c r="T153" s="192"/>
      <c r="U153" s="192"/>
      <c r="V153" s="192"/>
      <c r="W153" s="192"/>
      <c r="X153" s="192"/>
      <c r="Y153" s="190"/>
      <c r="Z153" s="196"/>
      <c r="AA153" s="190"/>
      <c r="AB153" s="190"/>
      <c r="AC153" s="190"/>
    </row>
    <row r="154" spans="2:29" ht="15.5" x14ac:dyDescent="0.35">
      <c r="B154" s="166"/>
      <c r="M154" s="329"/>
      <c r="N154" s="158"/>
      <c r="O154" s="158"/>
      <c r="P154" s="168"/>
      <c r="Q154" s="194"/>
      <c r="R154" s="195"/>
      <c r="S154" s="195"/>
      <c r="T154" s="192"/>
      <c r="U154" s="192"/>
      <c r="V154" s="192"/>
      <c r="W154" s="192"/>
      <c r="X154" s="192"/>
      <c r="Y154" s="190"/>
      <c r="Z154" s="196"/>
      <c r="AA154" s="190"/>
      <c r="AB154" s="190"/>
      <c r="AC154" s="190"/>
    </row>
    <row r="155" spans="2:29" ht="15.5" x14ac:dyDescent="0.35">
      <c r="B155" s="166"/>
      <c r="M155" s="329"/>
      <c r="N155" s="167"/>
      <c r="O155" s="158"/>
      <c r="P155" s="168"/>
      <c r="Q155" s="194"/>
      <c r="R155" s="195"/>
      <c r="S155" s="195"/>
      <c r="T155" s="342"/>
      <c r="U155" s="192"/>
      <c r="V155" s="192"/>
      <c r="W155" s="192"/>
      <c r="X155" s="192"/>
      <c r="Y155" s="197"/>
      <c r="Z155" s="212"/>
      <c r="AA155" s="197"/>
      <c r="AB155" s="197"/>
      <c r="AC155" s="224"/>
    </row>
    <row r="156" spans="2:29" ht="15.5" x14ac:dyDescent="0.35">
      <c r="B156" s="166"/>
      <c r="M156" s="329"/>
      <c r="N156" s="158"/>
      <c r="O156" s="158"/>
      <c r="P156" s="184"/>
      <c r="Q156" s="185"/>
      <c r="R156" s="186"/>
      <c r="S156" s="187"/>
      <c r="T156" s="173"/>
      <c r="U156" s="192"/>
      <c r="V156" s="192"/>
      <c r="W156" s="189"/>
      <c r="X156" s="189"/>
      <c r="Y156" s="190"/>
      <c r="Z156" s="193"/>
      <c r="AA156" s="190"/>
      <c r="AB156" s="197"/>
      <c r="AC156" s="224"/>
    </row>
    <row r="157" spans="2:29" ht="15.5" x14ac:dyDescent="0.35">
      <c r="B157" s="166"/>
      <c r="M157" s="329"/>
      <c r="N157" s="158"/>
      <c r="O157" s="158"/>
      <c r="P157" s="168"/>
      <c r="Q157" s="194"/>
      <c r="R157" s="195"/>
      <c r="S157" s="195"/>
      <c r="T157" s="192"/>
      <c r="U157" s="192"/>
      <c r="V157" s="192"/>
      <c r="W157" s="192"/>
      <c r="X157" s="192"/>
      <c r="Y157" s="190"/>
      <c r="Z157" s="196"/>
      <c r="AA157" s="190"/>
      <c r="AB157" s="197"/>
      <c r="AC157" s="190"/>
    </row>
    <row r="158" spans="2:29" ht="15.5" x14ac:dyDescent="0.35">
      <c r="B158" s="166"/>
      <c r="M158" s="329"/>
      <c r="N158" s="158"/>
      <c r="O158" s="158"/>
      <c r="P158" s="184"/>
      <c r="Q158" s="185"/>
      <c r="R158" s="186"/>
      <c r="S158" s="187"/>
      <c r="T158" s="188"/>
      <c r="U158" s="188"/>
      <c r="V158" s="188"/>
      <c r="W158" s="189"/>
      <c r="X158" s="189"/>
      <c r="Y158" s="190"/>
      <c r="Z158" s="191"/>
      <c r="AA158" s="190"/>
      <c r="AB158" s="190"/>
      <c r="AC158" s="190"/>
    </row>
    <row r="159" spans="2:29" ht="15.5" x14ac:dyDescent="0.35">
      <c r="B159" s="166"/>
      <c r="M159" s="329"/>
      <c r="N159" s="158"/>
      <c r="O159" s="158"/>
      <c r="P159" s="184"/>
      <c r="Q159" s="185"/>
      <c r="R159" s="186"/>
      <c r="S159" s="187"/>
      <c r="T159" s="173"/>
      <c r="U159" s="192"/>
      <c r="V159" s="192"/>
      <c r="W159" s="189"/>
      <c r="X159" s="189"/>
      <c r="Y159" s="190"/>
      <c r="Z159" s="193"/>
      <c r="AA159" s="190"/>
      <c r="AB159" s="190"/>
      <c r="AC159" s="190"/>
    </row>
    <row r="160" spans="2:29" ht="15.5" x14ac:dyDescent="0.35">
      <c r="B160" s="166"/>
      <c r="M160" s="329"/>
      <c r="N160" s="158"/>
      <c r="O160" s="158"/>
      <c r="P160" s="184"/>
      <c r="Q160" s="185"/>
      <c r="R160" s="186"/>
      <c r="S160" s="187"/>
      <c r="T160" s="173"/>
      <c r="U160" s="192"/>
      <c r="V160" s="192"/>
      <c r="W160" s="189"/>
      <c r="X160" s="189"/>
      <c r="Y160" s="190"/>
      <c r="Z160" s="193"/>
      <c r="AA160" s="190"/>
      <c r="AB160" s="190"/>
      <c r="AC160" s="190"/>
    </row>
    <row r="161" spans="2:29" ht="15.5" x14ac:dyDescent="0.35">
      <c r="B161" s="166"/>
      <c r="M161" s="329"/>
      <c r="N161" s="158"/>
      <c r="O161" s="158"/>
      <c r="P161" s="184"/>
      <c r="Q161" s="185"/>
      <c r="R161" s="186"/>
      <c r="S161" s="187"/>
      <c r="T161" s="173"/>
      <c r="U161" s="192"/>
      <c r="V161" s="192"/>
      <c r="W161" s="189"/>
      <c r="X161" s="189"/>
      <c r="Y161" s="190"/>
      <c r="Z161" s="193"/>
      <c r="AA161" s="190"/>
      <c r="AB161" s="190"/>
      <c r="AC161" s="190"/>
    </row>
    <row r="162" spans="2:29" ht="15.5" x14ac:dyDescent="0.35">
      <c r="B162" s="166"/>
      <c r="M162" s="329"/>
      <c r="N162" s="158"/>
      <c r="O162" s="158"/>
      <c r="P162" s="168"/>
      <c r="Q162" s="194"/>
      <c r="R162" s="195"/>
      <c r="S162" s="195"/>
      <c r="T162" s="192"/>
      <c r="U162" s="192"/>
      <c r="V162" s="192"/>
      <c r="W162" s="192"/>
      <c r="X162" s="192"/>
      <c r="Y162" s="190"/>
      <c r="Z162" s="196"/>
      <c r="AA162" s="190"/>
      <c r="AB162" s="197"/>
      <c r="AC162" s="190"/>
    </row>
    <row r="163" spans="2:29" ht="15.5" x14ac:dyDescent="0.35">
      <c r="B163" s="166"/>
      <c r="M163" s="329"/>
      <c r="N163" s="158"/>
      <c r="O163" s="158"/>
      <c r="P163" s="168"/>
      <c r="Q163" s="194"/>
      <c r="R163" s="195"/>
      <c r="S163" s="195"/>
      <c r="T163" s="192"/>
      <c r="U163" s="192"/>
      <c r="V163" s="192"/>
      <c r="W163" s="192"/>
      <c r="X163" s="192"/>
      <c r="Y163" s="190"/>
      <c r="Z163" s="196"/>
      <c r="AA163" s="190"/>
      <c r="AB163" s="197"/>
      <c r="AC163" s="190"/>
    </row>
    <row r="164" spans="2:29" ht="15.5" x14ac:dyDescent="0.35">
      <c r="B164" s="166"/>
      <c r="M164" s="329"/>
      <c r="N164" s="158"/>
      <c r="O164" s="158"/>
      <c r="P164" s="184"/>
      <c r="Q164" s="185"/>
      <c r="R164" s="186"/>
      <c r="S164" s="187"/>
      <c r="T164" s="188"/>
      <c r="U164" s="188"/>
      <c r="V164" s="188"/>
      <c r="W164" s="189"/>
      <c r="X164" s="189"/>
      <c r="Y164" s="190"/>
      <c r="Z164" s="191"/>
      <c r="AA164" s="190"/>
      <c r="AB164" s="190"/>
      <c r="AC164" s="190"/>
    </row>
    <row r="165" spans="2:29" ht="15.5" x14ac:dyDescent="0.35">
      <c r="B165" s="166"/>
      <c r="M165" s="329"/>
      <c r="N165" s="158"/>
      <c r="O165" s="158"/>
      <c r="P165" s="184"/>
      <c r="Q165" s="185"/>
      <c r="R165" s="186"/>
      <c r="S165" s="187"/>
      <c r="T165" s="188"/>
      <c r="U165" s="188"/>
      <c r="V165" s="188"/>
      <c r="W165" s="189"/>
      <c r="X165" s="189"/>
      <c r="Y165" s="190"/>
      <c r="Z165" s="191"/>
      <c r="AA165" s="190"/>
      <c r="AB165" s="190"/>
      <c r="AC165" s="190"/>
    </row>
    <row r="166" spans="2:29" ht="15.5" x14ac:dyDescent="0.35">
      <c r="B166" s="166"/>
      <c r="M166" s="329"/>
      <c r="N166" s="158"/>
      <c r="O166" s="158"/>
      <c r="P166" s="168"/>
      <c r="Q166" s="194"/>
      <c r="R166" s="195"/>
      <c r="S166" s="195"/>
      <c r="T166" s="192"/>
      <c r="U166" s="192"/>
      <c r="V166" s="192"/>
      <c r="W166" s="192"/>
      <c r="X166" s="192"/>
      <c r="Y166" s="190"/>
      <c r="Z166" s="196"/>
      <c r="AA166" s="190"/>
      <c r="AB166" s="197"/>
      <c r="AC166" s="190"/>
    </row>
    <row r="167" spans="2:29" ht="15.5" x14ac:dyDescent="0.35">
      <c r="B167" s="166"/>
      <c r="M167" s="329"/>
      <c r="N167" s="158"/>
      <c r="O167" s="158"/>
      <c r="P167" s="168"/>
      <c r="Q167" s="194"/>
      <c r="R167" s="195"/>
      <c r="S167" s="195"/>
      <c r="T167" s="192"/>
      <c r="U167" s="192"/>
      <c r="V167" s="192"/>
      <c r="W167" s="192"/>
      <c r="X167" s="192"/>
      <c r="Y167" s="190"/>
      <c r="Z167" s="196"/>
      <c r="AA167" s="190"/>
      <c r="AB167" s="197"/>
      <c r="AC167" s="190"/>
    </row>
    <row r="168" spans="2:29" ht="15.5" x14ac:dyDescent="0.35">
      <c r="B168" s="166"/>
      <c r="M168" s="329"/>
      <c r="N168" s="158"/>
      <c r="O168" s="158"/>
      <c r="P168" s="168"/>
      <c r="Q168" s="194"/>
      <c r="R168" s="195"/>
      <c r="S168" s="195"/>
      <c r="T168" s="192"/>
      <c r="U168" s="192"/>
      <c r="V168" s="192"/>
      <c r="W168" s="192"/>
      <c r="X168" s="192"/>
      <c r="Y168" s="190"/>
      <c r="Z168" s="196"/>
      <c r="AA168" s="190"/>
      <c r="AB168" s="197"/>
      <c r="AC168" s="190"/>
    </row>
    <row r="169" spans="2:29" ht="15.5" x14ac:dyDescent="0.35">
      <c r="B169" s="166"/>
      <c r="M169" s="329"/>
      <c r="N169" s="158"/>
      <c r="O169" s="158"/>
      <c r="P169" s="184"/>
      <c r="Q169" s="185"/>
      <c r="R169" s="186"/>
      <c r="S169" s="187"/>
      <c r="T169" s="173"/>
      <c r="U169" s="192"/>
      <c r="V169" s="192"/>
      <c r="W169" s="189"/>
      <c r="X169" s="189"/>
      <c r="Y169" s="190"/>
      <c r="Z169" s="193"/>
      <c r="AA169" s="190"/>
      <c r="AB169" s="190"/>
      <c r="AC169" s="190"/>
    </row>
    <row r="170" spans="2:29" ht="15.5" x14ac:dyDescent="0.35">
      <c r="B170" s="166"/>
      <c r="M170" s="329"/>
      <c r="N170" s="158"/>
      <c r="O170" s="158"/>
      <c r="P170" s="184"/>
      <c r="Q170" s="185"/>
      <c r="R170" s="186"/>
      <c r="S170" s="187"/>
      <c r="T170" s="173"/>
      <c r="U170" s="192"/>
      <c r="V170" s="192"/>
      <c r="W170" s="189"/>
      <c r="X170" s="189"/>
      <c r="Y170" s="190"/>
      <c r="Z170" s="193"/>
      <c r="AA170" s="190"/>
      <c r="AB170" s="190"/>
      <c r="AC170" s="190"/>
    </row>
    <row r="171" spans="2:29" ht="15.5" x14ac:dyDescent="0.35">
      <c r="B171" s="166"/>
      <c r="M171" s="329"/>
      <c r="N171" s="158"/>
      <c r="O171" s="158"/>
      <c r="P171" s="184"/>
      <c r="Q171" s="185"/>
      <c r="R171" s="186"/>
      <c r="S171" s="187"/>
      <c r="T171" s="173"/>
      <c r="U171" s="192"/>
      <c r="V171" s="192"/>
      <c r="W171" s="189"/>
      <c r="X171" s="192"/>
      <c r="Y171" s="190"/>
      <c r="Z171" s="193"/>
      <c r="AA171" s="190"/>
      <c r="AB171" s="190"/>
      <c r="AC171" s="190"/>
    </row>
    <row r="172" spans="2:29" ht="15.5" x14ac:dyDescent="0.35">
      <c r="B172" s="166"/>
      <c r="M172" s="329"/>
      <c r="N172" s="158"/>
      <c r="O172" s="158"/>
      <c r="P172" s="184"/>
      <c r="Q172" s="185"/>
      <c r="R172" s="186"/>
      <c r="S172" s="187"/>
      <c r="T172" s="173"/>
      <c r="U172" s="192"/>
      <c r="V172" s="192"/>
      <c r="W172" s="189"/>
      <c r="X172" s="189"/>
      <c r="Y172" s="190"/>
      <c r="Z172" s="193"/>
      <c r="AA172" s="190"/>
      <c r="AB172" s="190"/>
      <c r="AC172" s="190"/>
    </row>
    <row r="173" spans="2:29" ht="15.5" x14ac:dyDescent="0.35">
      <c r="B173" s="166"/>
      <c r="M173" s="329"/>
      <c r="N173" s="158"/>
      <c r="O173" s="158"/>
      <c r="P173" s="168"/>
      <c r="Q173" s="194"/>
      <c r="R173" s="195"/>
      <c r="S173" s="195"/>
      <c r="T173" s="192"/>
      <c r="U173" s="192"/>
      <c r="V173" s="192"/>
      <c r="W173" s="192"/>
      <c r="X173" s="192"/>
      <c r="Y173" s="190"/>
      <c r="Z173" s="196"/>
      <c r="AA173" s="190"/>
      <c r="AB173" s="197"/>
      <c r="AC173" s="190"/>
    </row>
    <row r="174" spans="2:29" ht="15.5" x14ac:dyDescent="0.35">
      <c r="B174" s="166"/>
      <c r="M174" s="329"/>
      <c r="N174" s="158"/>
      <c r="O174" s="158"/>
      <c r="P174" s="184"/>
      <c r="Q174" s="185"/>
      <c r="R174" s="186"/>
      <c r="S174" s="187"/>
      <c r="T174" s="173"/>
      <c r="U174" s="192"/>
      <c r="V174" s="192"/>
      <c r="W174" s="189"/>
      <c r="X174" s="189"/>
      <c r="Y174" s="190"/>
      <c r="Z174" s="193"/>
      <c r="AA174" s="190"/>
      <c r="AB174" s="190"/>
      <c r="AC174" s="190"/>
    </row>
    <row r="175" spans="2:29" ht="15.5" x14ac:dyDescent="0.35">
      <c r="B175" s="166"/>
      <c r="M175" s="329"/>
      <c r="N175" s="158"/>
      <c r="O175" s="158"/>
      <c r="P175" s="184"/>
      <c r="Q175" s="185"/>
      <c r="R175" s="186"/>
      <c r="S175" s="187"/>
      <c r="T175" s="188"/>
      <c r="U175" s="188"/>
      <c r="V175" s="188"/>
      <c r="W175" s="189"/>
      <c r="X175" s="189"/>
      <c r="Y175" s="190"/>
      <c r="Z175" s="191"/>
      <c r="AA175" s="190"/>
      <c r="AB175" s="190"/>
      <c r="AC175" s="190"/>
    </row>
    <row r="176" spans="2:29" ht="15.5" x14ac:dyDescent="0.35">
      <c r="B176" s="166"/>
      <c r="M176" s="329"/>
      <c r="N176" s="158"/>
      <c r="O176" s="158"/>
      <c r="P176" s="168"/>
      <c r="Q176" s="194"/>
      <c r="R176" s="195"/>
      <c r="S176" s="195"/>
      <c r="T176" s="192"/>
      <c r="U176" s="192"/>
      <c r="V176" s="192"/>
      <c r="W176" s="192"/>
      <c r="X176" s="192"/>
      <c r="Y176" s="190"/>
      <c r="Z176" s="196"/>
      <c r="AA176" s="190"/>
      <c r="AB176" s="197"/>
      <c r="AC176" s="190"/>
    </row>
    <row r="177" spans="2:29" ht="15.5" x14ac:dyDescent="0.35">
      <c r="B177" s="166"/>
      <c r="M177" s="329"/>
      <c r="N177" s="158"/>
      <c r="O177" s="158"/>
      <c r="P177" s="168"/>
      <c r="Q177" s="194"/>
      <c r="R177" s="186"/>
      <c r="S177" s="195"/>
      <c r="T177" s="192"/>
      <c r="U177" s="192"/>
      <c r="V177" s="192"/>
      <c r="W177" s="192"/>
      <c r="X177" s="192"/>
      <c r="Y177" s="190"/>
      <c r="Z177" s="193"/>
      <c r="AA177" s="190"/>
      <c r="AB177" s="190"/>
      <c r="AC177" s="190"/>
    </row>
    <row r="178" spans="2:29" ht="15.5" x14ac:dyDescent="0.35">
      <c r="B178" s="166"/>
      <c r="M178" s="329"/>
      <c r="N178" s="158"/>
      <c r="O178" s="158"/>
      <c r="P178" s="168"/>
      <c r="Q178" s="194"/>
      <c r="R178" s="195"/>
      <c r="S178" s="195"/>
      <c r="T178" s="192"/>
      <c r="U178" s="192"/>
      <c r="V178" s="192"/>
      <c r="W178" s="192"/>
      <c r="X178" s="192"/>
      <c r="Y178" s="190"/>
      <c r="Z178" s="196"/>
      <c r="AA178" s="190"/>
      <c r="AB178" s="197"/>
      <c r="AC178" s="190"/>
    </row>
    <row r="179" spans="2:29" ht="15.5" x14ac:dyDescent="0.35">
      <c r="B179" s="166"/>
      <c r="M179" s="329"/>
      <c r="N179" s="158"/>
      <c r="O179" s="158"/>
      <c r="P179" s="168"/>
      <c r="Q179" s="194"/>
      <c r="R179" s="195"/>
      <c r="S179" s="195"/>
      <c r="T179" s="192"/>
      <c r="U179" s="192"/>
      <c r="V179" s="192"/>
      <c r="W179" s="192"/>
      <c r="X179" s="192"/>
      <c r="Y179" s="190"/>
      <c r="Z179" s="196"/>
      <c r="AA179" s="190"/>
      <c r="AB179" s="197"/>
      <c r="AC179" s="190"/>
    </row>
    <row r="180" spans="2:29" ht="15.5" x14ac:dyDescent="0.35">
      <c r="B180" s="166"/>
      <c r="M180" s="329"/>
      <c r="N180" s="158"/>
      <c r="O180" s="158"/>
      <c r="P180" s="213"/>
      <c r="Q180" s="214"/>
      <c r="R180" s="195"/>
      <c r="S180" s="202"/>
      <c r="T180" s="215"/>
      <c r="U180" s="203"/>
      <c r="V180" s="203"/>
      <c r="W180" s="192"/>
      <c r="X180" s="192"/>
      <c r="Y180" s="190"/>
      <c r="Z180" s="193"/>
      <c r="AA180" s="190"/>
      <c r="AB180" s="190"/>
      <c r="AC180" s="190"/>
    </row>
    <row r="181" spans="2:29" ht="15.5" x14ac:dyDescent="0.35">
      <c r="B181" s="166"/>
      <c r="M181" s="329"/>
      <c r="N181" s="158"/>
      <c r="O181" s="158"/>
      <c r="P181" s="168"/>
      <c r="Q181" s="194"/>
      <c r="R181" s="195"/>
      <c r="S181" s="195"/>
      <c r="T181" s="192"/>
      <c r="U181" s="192"/>
      <c r="V181" s="192"/>
      <c r="W181" s="192"/>
      <c r="X181" s="192"/>
      <c r="Y181" s="190"/>
      <c r="Z181" s="196"/>
      <c r="AA181" s="190"/>
      <c r="AB181" s="197"/>
      <c r="AC181" s="190"/>
    </row>
    <row r="182" spans="2:29" ht="15.5" x14ac:dyDescent="0.35">
      <c r="B182" s="166"/>
      <c r="M182" s="329"/>
      <c r="N182" s="158"/>
      <c r="O182" s="158"/>
      <c r="P182" s="184"/>
      <c r="Q182" s="185"/>
      <c r="R182" s="186"/>
      <c r="S182" s="187"/>
      <c r="T182" s="173"/>
      <c r="U182" s="192"/>
      <c r="V182" s="192"/>
      <c r="W182" s="189"/>
      <c r="X182" s="189"/>
      <c r="Y182" s="190"/>
      <c r="Z182" s="193"/>
      <c r="AA182" s="190"/>
      <c r="AB182" s="190"/>
      <c r="AC182" s="190"/>
    </row>
    <row r="183" spans="2:29" ht="15.5" x14ac:dyDescent="0.35">
      <c r="B183" s="166"/>
      <c r="M183" s="329"/>
      <c r="N183" s="158"/>
      <c r="O183" s="158"/>
      <c r="P183" s="168"/>
      <c r="Q183" s="194"/>
      <c r="R183" s="195"/>
      <c r="S183" s="195"/>
      <c r="T183" s="192"/>
      <c r="U183" s="192"/>
      <c r="V183" s="192"/>
      <c r="W183" s="192"/>
      <c r="X183" s="192"/>
      <c r="Y183" s="190"/>
      <c r="Z183" s="196"/>
      <c r="AA183" s="190"/>
      <c r="AB183" s="197"/>
      <c r="AC183" s="190"/>
    </row>
    <row r="184" spans="2:29" ht="15.5" x14ac:dyDescent="0.35">
      <c r="B184" s="166"/>
      <c r="M184" s="329"/>
      <c r="N184" s="158"/>
      <c r="O184" s="158"/>
      <c r="P184" s="213"/>
      <c r="Q184" s="214"/>
      <c r="R184" s="208"/>
      <c r="S184" s="202"/>
      <c r="T184" s="215"/>
      <c r="U184" s="203"/>
      <c r="V184" s="203"/>
      <c r="W184" s="192"/>
      <c r="X184" s="192"/>
      <c r="Y184" s="190"/>
      <c r="Z184" s="193"/>
      <c r="AA184" s="190"/>
      <c r="AB184" s="190"/>
      <c r="AC184" s="190"/>
    </row>
    <row r="185" spans="2:29" ht="15.5" x14ac:dyDescent="0.35">
      <c r="B185" s="166"/>
      <c r="M185" s="329"/>
      <c r="N185" s="158"/>
      <c r="O185" s="158"/>
      <c r="P185" s="168"/>
      <c r="Q185" s="194"/>
      <c r="R185" s="195"/>
      <c r="S185" s="195"/>
      <c r="T185" s="192"/>
      <c r="U185" s="192"/>
      <c r="V185" s="192"/>
      <c r="W185" s="192"/>
      <c r="X185" s="192"/>
      <c r="Y185" s="190"/>
      <c r="Z185" s="196"/>
      <c r="AA185" s="190"/>
      <c r="AB185" s="197"/>
      <c r="AC185" s="190"/>
    </row>
    <row r="186" spans="2:29" ht="15.5" x14ac:dyDescent="0.35">
      <c r="B186" s="166"/>
      <c r="M186" s="329"/>
      <c r="N186" s="158"/>
      <c r="O186" s="158"/>
      <c r="P186" s="168"/>
      <c r="Q186" s="194"/>
      <c r="R186" s="195"/>
      <c r="S186" s="195"/>
      <c r="T186" s="192"/>
      <c r="U186" s="192"/>
      <c r="V186" s="192"/>
      <c r="W186" s="192"/>
      <c r="X186" s="192"/>
      <c r="Y186" s="190"/>
      <c r="Z186" s="196"/>
      <c r="AA186" s="190"/>
      <c r="AB186" s="197"/>
      <c r="AC186" s="190"/>
    </row>
    <row r="187" spans="2:29" ht="15.5" x14ac:dyDescent="0.35">
      <c r="B187" s="166"/>
      <c r="M187" s="329"/>
      <c r="N187" s="158"/>
      <c r="O187" s="158"/>
      <c r="P187" s="184"/>
      <c r="Q187" s="185"/>
      <c r="R187" s="186"/>
      <c r="S187" s="187"/>
      <c r="T187" s="173"/>
      <c r="U187" s="192"/>
      <c r="V187" s="192"/>
      <c r="W187" s="189"/>
      <c r="X187" s="192"/>
      <c r="Y187" s="190"/>
      <c r="Z187" s="193"/>
      <c r="AA187" s="190"/>
      <c r="AB187" s="190"/>
      <c r="AC187" s="190"/>
    </row>
    <row r="188" spans="2:29" ht="15.5" x14ac:dyDescent="0.35">
      <c r="B188" s="166"/>
      <c r="M188" s="329"/>
      <c r="N188" s="158"/>
      <c r="O188" s="158"/>
      <c r="P188" s="168"/>
      <c r="Q188" s="194"/>
      <c r="R188" s="195"/>
      <c r="S188" s="195"/>
      <c r="T188" s="192"/>
      <c r="U188" s="192"/>
      <c r="V188" s="192"/>
      <c r="W188" s="192"/>
      <c r="X188" s="192"/>
      <c r="Y188" s="190"/>
      <c r="Z188" s="196"/>
      <c r="AA188" s="190"/>
      <c r="AB188" s="197"/>
      <c r="AC188" s="190"/>
    </row>
    <row r="189" spans="2:29" ht="15.5" x14ac:dyDescent="0.35">
      <c r="B189" s="166"/>
      <c r="M189" s="329"/>
      <c r="N189" s="158"/>
      <c r="O189" s="158"/>
      <c r="P189" s="168"/>
      <c r="Q189" s="194"/>
      <c r="R189" s="195"/>
      <c r="S189" s="187"/>
      <c r="T189" s="192"/>
      <c r="U189" s="192"/>
      <c r="V189" s="192"/>
      <c r="W189" s="192"/>
      <c r="X189" s="192"/>
      <c r="Y189" s="190"/>
      <c r="Z189" s="196"/>
      <c r="AA189" s="190"/>
      <c r="AB189" s="190"/>
      <c r="AC189" s="190"/>
    </row>
    <row r="190" spans="2:29" ht="15.5" x14ac:dyDescent="0.35">
      <c r="B190" s="166"/>
      <c r="M190" s="329"/>
      <c r="N190" s="158"/>
      <c r="O190" s="158"/>
      <c r="P190" s="168"/>
      <c r="Q190" s="194"/>
      <c r="R190" s="195"/>
      <c r="S190" s="195"/>
      <c r="T190" s="192"/>
      <c r="U190" s="192"/>
      <c r="V190" s="192"/>
      <c r="W190" s="192"/>
      <c r="X190" s="192"/>
      <c r="Y190" s="190"/>
      <c r="Z190" s="196"/>
      <c r="AA190" s="190"/>
      <c r="AB190" s="197"/>
      <c r="AC190" s="190"/>
    </row>
    <row r="191" spans="2:29" ht="15.5" x14ac:dyDescent="0.35">
      <c r="B191" s="166"/>
      <c r="M191" s="329"/>
      <c r="N191" s="158"/>
      <c r="O191" s="158"/>
      <c r="P191" s="184"/>
      <c r="Q191" s="185"/>
      <c r="R191" s="186"/>
      <c r="S191" s="187"/>
      <c r="T191" s="173"/>
      <c r="U191" s="192"/>
      <c r="V191" s="192"/>
      <c r="W191" s="189"/>
      <c r="X191" s="189"/>
      <c r="Y191" s="190"/>
      <c r="Z191" s="193"/>
      <c r="AA191" s="190"/>
      <c r="AB191" s="190"/>
      <c r="AC191" s="190"/>
    </row>
    <row r="192" spans="2:29" ht="15.5" x14ac:dyDescent="0.35">
      <c r="B192" s="166"/>
      <c r="M192" s="329"/>
      <c r="N192" s="158"/>
      <c r="O192" s="158"/>
      <c r="P192" s="168"/>
      <c r="Q192" s="194"/>
      <c r="R192" s="195"/>
      <c r="S192" s="195"/>
      <c r="T192" s="192"/>
      <c r="U192" s="192"/>
      <c r="V192" s="192"/>
      <c r="W192" s="192"/>
      <c r="X192" s="192"/>
      <c r="Y192" s="190"/>
      <c r="Z192" s="196"/>
      <c r="AA192" s="190"/>
      <c r="AB192" s="197"/>
      <c r="AC192" s="190"/>
    </row>
    <row r="193" spans="2:29" ht="15.5" x14ac:dyDescent="0.35">
      <c r="B193" s="166"/>
      <c r="M193" s="329"/>
      <c r="N193" s="158"/>
      <c r="O193" s="158"/>
      <c r="P193" s="168"/>
      <c r="Q193" s="194"/>
      <c r="R193" s="195"/>
      <c r="S193" s="195"/>
      <c r="T193" s="192"/>
      <c r="U193" s="192"/>
      <c r="V193" s="192"/>
      <c r="W193" s="192"/>
      <c r="X193" s="192"/>
      <c r="Y193" s="190"/>
      <c r="Z193" s="196"/>
      <c r="AA193" s="190"/>
      <c r="AB193" s="197"/>
      <c r="AC193" s="190"/>
    </row>
    <row r="194" spans="2:29" ht="15.5" x14ac:dyDescent="0.35">
      <c r="B194" s="166"/>
      <c r="M194" s="329"/>
      <c r="N194" s="158"/>
      <c r="O194" s="158"/>
      <c r="P194" s="184"/>
      <c r="Q194" s="185"/>
      <c r="R194" s="186"/>
      <c r="S194" s="187"/>
      <c r="T194" s="173"/>
      <c r="U194" s="192"/>
      <c r="V194" s="192"/>
      <c r="W194" s="189"/>
      <c r="X194" s="189"/>
      <c r="Y194" s="190"/>
      <c r="Z194" s="193"/>
      <c r="AA194" s="190"/>
      <c r="AB194" s="190"/>
      <c r="AC194" s="190"/>
    </row>
    <row r="195" spans="2:29" ht="15.5" x14ac:dyDescent="0.35">
      <c r="B195" s="166"/>
      <c r="M195" s="329"/>
      <c r="N195" s="158"/>
      <c r="O195" s="158"/>
      <c r="P195" s="168"/>
      <c r="Q195" s="194"/>
      <c r="R195" s="195"/>
      <c r="S195" s="195"/>
      <c r="T195" s="192"/>
      <c r="U195" s="192"/>
      <c r="V195" s="192"/>
      <c r="W195" s="192"/>
      <c r="X195" s="189"/>
      <c r="Y195" s="190"/>
      <c r="Z195" s="196"/>
      <c r="AA195" s="190"/>
      <c r="AB195" s="197"/>
      <c r="AC195" s="190"/>
    </row>
    <row r="196" spans="2:29" ht="15.5" x14ac:dyDescent="0.35">
      <c r="B196" s="166"/>
      <c r="M196" s="329"/>
      <c r="N196" s="158"/>
      <c r="O196" s="158"/>
      <c r="P196" s="168"/>
      <c r="Q196" s="194"/>
      <c r="R196" s="195"/>
      <c r="S196" s="195"/>
      <c r="T196" s="192"/>
      <c r="U196" s="192"/>
      <c r="V196" s="192"/>
      <c r="W196" s="192"/>
      <c r="X196" s="192"/>
      <c r="Y196" s="190"/>
      <c r="Z196" s="196"/>
      <c r="AA196" s="190"/>
      <c r="AB196" s="197"/>
      <c r="AC196" s="190"/>
    </row>
    <row r="197" spans="2:29" ht="15.5" x14ac:dyDescent="0.35">
      <c r="B197" s="166"/>
      <c r="M197" s="329"/>
      <c r="N197" s="158"/>
      <c r="O197" s="158"/>
      <c r="P197" s="168"/>
      <c r="Q197" s="194"/>
      <c r="R197" s="195"/>
      <c r="S197" s="195"/>
      <c r="T197" s="192"/>
      <c r="U197" s="192"/>
      <c r="V197" s="192"/>
      <c r="W197" s="192"/>
      <c r="X197" s="192"/>
      <c r="Y197" s="190"/>
      <c r="Z197" s="196"/>
      <c r="AA197" s="190"/>
      <c r="AB197" s="197"/>
      <c r="AC197" s="190"/>
    </row>
    <row r="198" spans="2:29" ht="15.5" x14ac:dyDescent="0.35">
      <c r="B198" s="166"/>
      <c r="M198" s="329"/>
      <c r="N198" s="158"/>
      <c r="O198" s="158"/>
      <c r="P198" s="168"/>
      <c r="Q198" s="194"/>
      <c r="R198" s="195"/>
      <c r="S198" s="195"/>
      <c r="T198" s="192"/>
      <c r="U198" s="192"/>
      <c r="V198" s="192"/>
      <c r="W198" s="192"/>
      <c r="X198" s="192"/>
      <c r="Y198" s="190"/>
      <c r="Z198" s="196"/>
      <c r="AA198" s="190"/>
      <c r="AB198" s="197"/>
      <c r="AC198" s="190"/>
    </row>
    <row r="199" spans="2:29" ht="15.5" x14ac:dyDescent="0.35">
      <c r="B199" s="166"/>
      <c r="M199" s="329"/>
      <c r="N199" s="198"/>
      <c r="O199" s="158"/>
      <c r="P199" s="184"/>
      <c r="Q199" s="185"/>
      <c r="R199" s="186"/>
      <c r="S199" s="187"/>
      <c r="T199" s="173"/>
      <c r="U199" s="192"/>
      <c r="V199" s="192"/>
      <c r="W199" s="192"/>
      <c r="X199" s="192"/>
      <c r="Y199" s="190"/>
      <c r="Z199" s="193"/>
      <c r="AA199" s="190"/>
      <c r="AB199" s="190"/>
      <c r="AC199" s="190"/>
    </row>
    <row r="200" spans="2:29" ht="15.5" x14ac:dyDescent="0.35">
      <c r="B200" s="166"/>
      <c r="M200" s="329"/>
      <c r="N200" s="158"/>
      <c r="O200" s="158"/>
      <c r="P200" s="168"/>
      <c r="Q200" s="194"/>
      <c r="R200" s="195"/>
      <c r="S200" s="195"/>
      <c r="T200" s="192"/>
      <c r="U200" s="192"/>
      <c r="V200" s="192"/>
      <c r="W200" s="192"/>
      <c r="X200" s="192"/>
      <c r="Y200" s="190"/>
      <c r="Z200" s="196"/>
      <c r="AA200" s="190"/>
      <c r="AB200" s="197"/>
      <c r="AC200" s="190"/>
    </row>
    <row r="201" spans="2:29" ht="15.5" x14ac:dyDescent="0.35">
      <c r="B201" s="166"/>
      <c r="M201" s="329"/>
      <c r="N201" s="158"/>
      <c r="O201" s="158"/>
      <c r="P201" s="184"/>
      <c r="Q201" s="185"/>
      <c r="R201" s="186"/>
      <c r="S201" s="187"/>
      <c r="T201" s="173"/>
      <c r="U201" s="192"/>
      <c r="V201" s="192"/>
      <c r="W201" s="189"/>
      <c r="X201" s="189"/>
      <c r="Y201" s="190"/>
      <c r="Z201" s="193"/>
      <c r="AA201" s="190"/>
      <c r="AB201" s="190"/>
      <c r="AC201" s="190"/>
    </row>
    <row r="202" spans="2:29" ht="15.5" x14ac:dyDescent="0.35">
      <c r="B202" s="166"/>
      <c r="M202" s="329"/>
      <c r="N202" s="158"/>
      <c r="O202" s="158"/>
      <c r="P202" s="168"/>
      <c r="Q202" s="194"/>
      <c r="R202" s="195"/>
      <c r="S202" s="195"/>
      <c r="T202" s="192"/>
      <c r="U202" s="192"/>
      <c r="V202" s="192"/>
      <c r="W202" s="192"/>
      <c r="X202" s="192"/>
      <c r="Y202" s="190"/>
      <c r="Z202" s="196"/>
      <c r="AA202" s="190"/>
      <c r="AB202" s="197"/>
      <c r="AC202" s="190"/>
    </row>
    <row r="203" spans="2:29" ht="15.5" x14ac:dyDescent="0.35">
      <c r="B203" s="166"/>
      <c r="M203" s="329"/>
      <c r="N203" s="158"/>
      <c r="O203" s="158"/>
      <c r="P203" s="168"/>
      <c r="Q203" s="194"/>
      <c r="R203" s="195"/>
      <c r="S203" s="195"/>
      <c r="T203" s="192"/>
      <c r="U203" s="192"/>
      <c r="V203" s="192"/>
      <c r="W203" s="192"/>
      <c r="X203" s="189"/>
      <c r="Y203" s="190"/>
      <c r="Z203" s="196"/>
      <c r="AA203" s="190"/>
      <c r="AB203" s="197"/>
      <c r="AC203" s="190"/>
    </row>
    <row r="204" spans="2:29" ht="15.5" x14ac:dyDescent="0.35">
      <c r="B204" s="166"/>
      <c r="M204" s="329"/>
      <c r="N204" s="158"/>
      <c r="O204" s="158"/>
      <c r="P204" s="168"/>
      <c r="Q204" s="194"/>
      <c r="R204" s="195"/>
      <c r="S204" s="195"/>
      <c r="T204" s="192"/>
      <c r="U204" s="192"/>
      <c r="V204" s="192"/>
      <c r="W204" s="192"/>
      <c r="X204" s="192"/>
      <c r="Y204" s="190"/>
      <c r="Z204" s="196"/>
      <c r="AA204" s="190"/>
      <c r="AB204" s="197"/>
      <c r="AC204" s="190"/>
    </row>
    <row r="205" spans="2:29" ht="15.5" x14ac:dyDescent="0.35">
      <c r="B205" s="166"/>
      <c r="M205" s="329"/>
      <c r="N205" s="158"/>
      <c r="O205" s="158"/>
      <c r="P205" s="184"/>
      <c r="Q205" s="185"/>
      <c r="R205" s="186"/>
      <c r="S205" s="187"/>
      <c r="T205" s="173"/>
      <c r="U205" s="192"/>
      <c r="V205" s="192"/>
      <c r="W205" s="189"/>
      <c r="X205" s="189"/>
      <c r="Y205" s="190"/>
      <c r="Z205" s="193"/>
      <c r="AA205" s="190"/>
      <c r="AB205" s="190"/>
      <c r="AC205" s="190"/>
    </row>
    <row r="206" spans="2:29" ht="15.5" x14ac:dyDescent="0.35">
      <c r="B206" s="166"/>
      <c r="M206" s="329"/>
      <c r="N206" s="158"/>
      <c r="O206" s="158"/>
      <c r="P206" s="168"/>
      <c r="Q206" s="194"/>
      <c r="R206" s="195"/>
      <c r="S206" s="195"/>
      <c r="T206" s="192"/>
      <c r="U206" s="192"/>
      <c r="V206" s="192"/>
      <c r="W206" s="192"/>
      <c r="X206" s="192"/>
      <c r="Y206" s="190"/>
      <c r="Z206" s="196"/>
      <c r="AA206" s="190"/>
      <c r="AB206" s="197"/>
      <c r="AC206" s="190"/>
    </row>
    <row r="207" spans="2:29" ht="15.5" x14ac:dyDescent="0.35">
      <c r="B207" s="166"/>
      <c r="M207" s="329"/>
      <c r="N207" s="158"/>
      <c r="O207" s="158"/>
      <c r="P207" s="168"/>
      <c r="Q207" s="194"/>
      <c r="R207" s="195"/>
      <c r="S207" s="195"/>
      <c r="T207" s="192"/>
      <c r="U207" s="192"/>
      <c r="V207" s="192"/>
      <c r="W207" s="192"/>
      <c r="X207" s="192"/>
      <c r="Y207" s="190"/>
      <c r="Z207" s="196"/>
      <c r="AA207" s="190"/>
      <c r="AB207" s="190"/>
      <c r="AC207" s="190"/>
    </row>
    <row r="208" spans="2:29" ht="15.5" x14ac:dyDescent="0.35">
      <c r="B208" s="166"/>
      <c r="M208" s="329"/>
      <c r="N208" s="158"/>
      <c r="O208" s="158"/>
      <c r="P208" s="184"/>
      <c r="Q208" s="185"/>
      <c r="R208" s="186"/>
      <c r="S208" s="187"/>
      <c r="T208" s="173"/>
      <c r="U208" s="192"/>
      <c r="V208" s="192"/>
      <c r="W208" s="189"/>
      <c r="X208" s="189"/>
      <c r="Y208" s="190"/>
      <c r="Z208" s="193"/>
      <c r="AA208" s="190"/>
      <c r="AB208" s="190"/>
      <c r="AC208" s="190"/>
    </row>
    <row r="209" spans="2:29" ht="15.5" x14ac:dyDescent="0.35">
      <c r="B209" s="166"/>
      <c r="M209" s="329"/>
      <c r="N209" s="158"/>
      <c r="O209" s="158"/>
      <c r="P209" s="184"/>
      <c r="Q209" s="185"/>
      <c r="R209" s="186"/>
      <c r="S209" s="187"/>
      <c r="T209" s="173"/>
      <c r="U209" s="192"/>
      <c r="V209" s="192"/>
      <c r="W209" s="189"/>
      <c r="X209" s="189"/>
      <c r="Y209" s="190"/>
      <c r="Z209" s="193"/>
      <c r="AA209" s="190"/>
      <c r="AB209" s="190"/>
      <c r="AC209" s="190"/>
    </row>
    <row r="210" spans="2:29" ht="15.5" x14ac:dyDescent="0.35">
      <c r="B210" s="166"/>
      <c r="M210" s="329"/>
      <c r="N210" s="158"/>
      <c r="O210" s="199"/>
      <c r="P210" s="200"/>
      <c r="Q210" s="201"/>
      <c r="R210" s="195"/>
      <c r="S210" s="202"/>
      <c r="T210" s="203"/>
      <c r="U210" s="203"/>
      <c r="V210" s="203"/>
      <c r="W210" s="192"/>
      <c r="X210" s="192"/>
      <c r="Y210" s="190"/>
      <c r="Z210" s="193"/>
      <c r="AA210" s="190"/>
      <c r="AB210" s="190"/>
      <c r="AC210" s="190"/>
    </row>
    <row r="211" spans="2:29" ht="15.5" x14ac:dyDescent="0.35">
      <c r="B211" s="166"/>
      <c r="M211" s="329"/>
      <c r="N211" s="158"/>
      <c r="O211" s="158"/>
      <c r="P211" s="168"/>
      <c r="Q211" s="194"/>
      <c r="R211" s="195"/>
      <c r="S211" s="195"/>
      <c r="T211" s="192"/>
      <c r="U211" s="192"/>
      <c r="V211" s="192"/>
      <c r="W211" s="192"/>
      <c r="X211" s="192"/>
      <c r="Y211" s="190"/>
      <c r="Z211" s="196"/>
      <c r="AA211" s="190"/>
      <c r="AB211" s="197"/>
      <c r="AC211" s="190"/>
    </row>
    <row r="212" spans="2:29" ht="15.5" x14ac:dyDescent="0.35">
      <c r="B212" s="166"/>
      <c r="M212" s="329"/>
      <c r="N212" s="158"/>
      <c r="O212" s="158"/>
      <c r="P212" s="184"/>
      <c r="Q212" s="185"/>
      <c r="R212" s="186"/>
      <c r="S212" s="187"/>
      <c r="T212" s="173"/>
      <c r="U212" s="192"/>
      <c r="V212" s="192"/>
      <c r="W212" s="189"/>
      <c r="X212" s="189"/>
      <c r="Y212" s="190"/>
      <c r="Z212" s="193"/>
      <c r="AA212" s="190"/>
      <c r="AB212" s="190"/>
      <c r="AC212" s="190"/>
    </row>
    <row r="213" spans="2:29" ht="15.5" x14ac:dyDescent="0.35">
      <c r="B213" s="166"/>
      <c r="M213" s="329"/>
      <c r="N213" s="158"/>
      <c r="O213" s="158"/>
      <c r="P213" s="168"/>
      <c r="Q213" s="194"/>
      <c r="R213" s="195"/>
      <c r="S213" s="195"/>
      <c r="T213" s="192"/>
      <c r="U213" s="192"/>
      <c r="V213" s="192"/>
      <c r="W213" s="192"/>
      <c r="X213" s="192"/>
      <c r="Y213" s="190"/>
      <c r="Z213" s="212"/>
      <c r="AA213" s="190"/>
      <c r="AB213" s="190"/>
      <c r="AC213" s="190"/>
    </row>
    <row r="214" spans="2:29" ht="15.5" x14ac:dyDescent="0.35">
      <c r="B214" s="166"/>
      <c r="M214" s="329"/>
      <c r="N214" s="158"/>
      <c r="O214" s="158"/>
      <c r="P214" s="168"/>
      <c r="Q214" s="194"/>
      <c r="R214" s="195"/>
      <c r="S214" s="195"/>
      <c r="T214" s="192"/>
      <c r="U214" s="192"/>
      <c r="V214" s="192"/>
      <c r="W214" s="192"/>
      <c r="X214" s="189"/>
      <c r="Y214" s="190"/>
      <c r="Z214" s="196"/>
      <c r="AA214" s="190"/>
      <c r="AB214" s="197"/>
      <c r="AC214" s="190"/>
    </row>
    <row r="215" spans="2:29" ht="15.5" x14ac:dyDescent="0.35">
      <c r="B215" s="166"/>
      <c r="M215" s="329"/>
      <c r="N215" s="158"/>
      <c r="O215" s="158"/>
      <c r="P215" s="168"/>
      <c r="Q215" s="194"/>
      <c r="R215" s="195"/>
      <c r="S215" s="195"/>
      <c r="T215" s="192"/>
      <c r="U215" s="192"/>
      <c r="V215" s="192"/>
      <c r="W215" s="192"/>
      <c r="X215" s="192"/>
      <c r="Y215" s="190"/>
      <c r="Z215" s="196"/>
      <c r="AA215" s="190"/>
      <c r="AB215" s="197"/>
      <c r="AC215" s="190"/>
    </row>
    <row r="216" spans="2:29" ht="15.5" x14ac:dyDescent="0.35">
      <c r="B216" s="166"/>
      <c r="M216" s="329"/>
      <c r="N216" s="158"/>
      <c r="O216" s="158"/>
      <c r="P216" s="168"/>
      <c r="Q216" s="194"/>
      <c r="R216" s="195"/>
      <c r="S216" s="195"/>
      <c r="T216" s="192"/>
      <c r="U216" s="192"/>
      <c r="V216" s="192"/>
      <c r="W216" s="192"/>
      <c r="X216" s="192"/>
      <c r="Y216" s="190"/>
      <c r="Z216" s="196"/>
      <c r="AA216" s="190"/>
      <c r="AB216" s="197"/>
      <c r="AC216" s="190"/>
    </row>
    <row r="217" spans="2:29" ht="15.5" x14ac:dyDescent="0.35">
      <c r="B217" s="166"/>
      <c r="M217" s="329"/>
      <c r="N217" s="158"/>
      <c r="O217" s="158"/>
      <c r="P217" s="168"/>
      <c r="Q217" s="194"/>
      <c r="R217" s="195"/>
      <c r="S217" s="195"/>
      <c r="T217" s="192"/>
      <c r="U217" s="192"/>
      <c r="V217" s="192"/>
      <c r="W217" s="192"/>
      <c r="X217" s="192"/>
      <c r="Y217" s="190"/>
      <c r="Z217" s="196"/>
      <c r="AA217" s="190"/>
      <c r="AB217" s="197"/>
      <c r="AC217" s="190"/>
    </row>
    <row r="218" spans="2:29" ht="15.5" x14ac:dyDescent="0.35">
      <c r="B218" s="166"/>
      <c r="M218" s="329"/>
      <c r="N218" s="158"/>
      <c r="O218" s="158"/>
      <c r="P218" s="168"/>
      <c r="Q218" s="194"/>
      <c r="R218" s="195"/>
      <c r="S218" s="195"/>
      <c r="T218" s="192"/>
      <c r="U218" s="192"/>
      <c r="V218" s="192"/>
      <c r="W218" s="192"/>
      <c r="X218" s="192"/>
      <c r="Y218" s="190"/>
      <c r="Z218" s="196"/>
      <c r="AA218" s="190"/>
      <c r="AB218" s="197"/>
      <c r="AC218" s="190"/>
    </row>
    <row r="219" spans="2:29" ht="15.5" x14ac:dyDescent="0.35">
      <c r="B219" s="166"/>
      <c r="M219" s="329"/>
      <c r="N219" s="158"/>
      <c r="O219" s="158"/>
      <c r="P219" s="168"/>
      <c r="Q219" s="194"/>
      <c r="R219" s="195"/>
      <c r="S219" s="195"/>
      <c r="T219" s="192"/>
      <c r="U219" s="192"/>
      <c r="V219" s="192"/>
      <c r="W219" s="192"/>
      <c r="X219" s="192"/>
      <c r="Y219" s="190"/>
      <c r="Z219" s="196"/>
      <c r="AA219" s="190"/>
      <c r="AB219" s="197"/>
      <c r="AC219" s="190"/>
    </row>
    <row r="220" spans="2:29" ht="15.5" x14ac:dyDescent="0.35">
      <c r="B220" s="166"/>
      <c r="M220" s="329"/>
      <c r="N220" s="158"/>
      <c r="O220" s="158"/>
      <c r="P220" s="168"/>
      <c r="Q220" s="194"/>
      <c r="R220" s="195"/>
      <c r="S220" s="195"/>
      <c r="T220" s="192"/>
      <c r="U220" s="192"/>
      <c r="V220" s="192"/>
      <c r="W220" s="192"/>
      <c r="X220" s="192"/>
      <c r="Y220" s="190"/>
      <c r="Z220" s="196"/>
      <c r="AA220" s="190"/>
      <c r="AB220" s="197"/>
      <c r="AC220" s="190"/>
    </row>
    <row r="221" spans="2:29" ht="15.5" x14ac:dyDescent="0.35">
      <c r="B221" s="166"/>
      <c r="M221" s="329"/>
      <c r="N221" s="158"/>
      <c r="O221" s="158"/>
      <c r="P221" s="168"/>
      <c r="Q221" s="194"/>
      <c r="R221" s="195"/>
      <c r="S221" s="195"/>
      <c r="T221" s="192"/>
      <c r="U221" s="192"/>
      <c r="V221" s="192"/>
      <c r="W221" s="192"/>
      <c r="X221" s="192"/>
      <c r="Y221" s="190"/>
      <c r="Z221" s="196"/>
      <c r="AA221" s="190"/>
      <c r="AB221" s="197"/>
      <c r="AC221" s="190"/>
    </row>
    <row r="222" spans="2:29" ht="15.5" x14ac:dyDescent="0.35">
      <c r="B222" s="166"/>
      <c r="M222" s="329"/>
      <c r="N222" s="198"/>
      <c r="O222" s="158"/>
      <c r="P222" s="184"/>
      <c r="Q222" s="185"/>
      <c r="R222" s="186"/>
      <c r="S222" s="187"/>
      <c r="T222" s="173"/>
      <c r="U222" s="192"/>
      <c r="V222" s="192"/>
      <c r="W222" s="189"/>
      <c r="X222" s="189"/>
      <c r="Y222" s="190"/>
      <c r="Z222" s="193"/>
      <c r="AA222" s="190"/>
      <c r="AB222" s="190"/>
      <c r="AC222" s="190"/>
    </row>
    <row r="223" spans="2:29" ht="15.5" x14ac:dyDescent="0.35">
      <c r="M223" s="329"/>
      <c r="N223" s="158"/>
      <c r="O223" s="158"/>
      <c r="P223" s="168"/>
      <c r="Q223" s="194"/>
      <c r="R223" s="195"/>
      <c r="S223" s="195"/>
      <c r="T223" s="192"/>
      <c r="U223" s="192"/>
      <c r="V223" s="192"/>
      <c r="W223" s="192"/>
      <c r="X223" s="192"/>
      <c r="Y223" s="190"/>
      <c r="Z223" s="196"/>
      <c r="AA223" s="190"/>
      <c r="AB223" s="190"/>
      <c r="AC223" s="190"/>
    </row>
    <row r="224" spans="2:29" ht="15.5" x14ac:dyDescent="0.35">
      <c r="M224" s="329"/>
      <c r="N224" s="158"/>
      <c r="O224" s="158"/>
      <c r="P224" s="168"/>
      <c r="Q224" s="194"/>
      <c r="R224" s="195"/>
      <c r="S224" s="195"/>
      <c r="T224" s="192"/>
      <c r="U224" s="192"/>
      <c r="V224" s="192"/>
      <c r="W224" s="192"/>
      <c r="X224" s="192"/>
      <c r="Y224" s="190"/>
      <c r="Z224" s="196"/>
      <c r="AA224" s="190"/>
      <c r="AB224" s="197"/>
      <c r="AC224" s="190"/>
    </row>
    <row r="225" spans="13:29" ht="15.5" x14ac:dyDescent="0.35">
      <c r="M225" s="329"/>
      <c r="N225" s="158"/>
      <c r="O225" s="158"/>
      <c r="P225" s="168"/>
      <c r="Q225" s="194"/>
      <c r="R225" s="195"/>
      <c r="S225" s="195"/>
      <c r="T225" s="192"/>
      <c r="U225" s="192"/>
      <c r="V225" s="192"/>
      <c r="W225" s="192"/>
      <c r="X225" s="192"/>
      <c r="Y225" s="190"/>
      <c r="Z225" s="196"/>
      <c r="AA225" s="190"/>
      <c r="AB225" s="190"/>
      <c r="AC225" s="190"/>
    </row>
    <row r="226" spans="13:29" ht="15.5" x14ac:dyDescent="0.35">
      <c r="M226" s="329"/>
      <c r="N226" s="158"/>
      <c r="O226" s="158"/>
      <c r="P226" s="184"/>
      <c r="Q226" s="185"/>
      <c r="R226" s="186"/>
      <c r="S226" s="187"/>
      <c r="T226" s="173"/>
      <c r="U226" s="192"/>
      <c r="V226" s="192"/>
      <c r="W226" s="189"/>
      <c r="X226" s="189"/>
      <c r="Y226" s="190"/>
      <c r="Z226" s="193"/>
      <c r="AA226" s="190"/>
      <c r="AB226" s="190"/>
      <c r="AC226" s="190"/>
    </row>
    <row r="227" spans="13:29" ht="15.5" x14ac:dyDescent="0.35">
      <c r="M227" s="329"/>
      <c r="N227" s="158"/>
      <c r="O227" s="158"/>
      <c r="P227" s="168"/>
      <c r="Q227" s="194"/>
      <c r="R227" s="195"/>
      <c r="S227" s="195"/>
      <c r="T227" s="192"/>
      <c r="U227" s="192"/>
      <c r="V227" s="192"/>
      <c r="W227" s="192"/>
      <c r="X227" s="192"/>
      <c r="Y227" s="190"/>
      <c r="Z227" s="196"/>
      <c r="AA227" s="190"/>
      <c r="AB227" s="190"/>
      <c r="AC227" s="190"/>
    </row>
    <row r="228" spans="13:29" ht="15.5" x14ac:dyDescent="0.35">
      <c r="M228" s="329"/>
      <c r="N228" s="158"/>
      <c r="O228" s="158"/>
      <c r="P228" s="184"/>
      <c r="Q228" s="185"/>
      <c r="R228" s="186"/>
      <c r="S228" s="187"/>
      <c r="T228" s="173"/>
      <c r="U228" s="192"/>
      <c r="V228" s="192"/>
      <c r="W228" s="189"/>
      <c r="X228" s="189"/>
      <c r="Y228" s="190"/>
      <c r="Z228" s="193"/>
      <c r="AA228" s="190"/>
      <c r="AB228" s="190"/>
      <c r="AC228" s="190"/>
    </row>
    <row r="229" spans="13:29" ht="15.5" x14ac:dyDescent="0.35">
      <c r="M229" s="329"/>
      <c r="N229" s="158"/>
      <c r="O229" s="158"/>
      <c r="P229" s="168"/>
      <c r="Q229" s="194"/>
      <c r="R229" s="195"/>
      <c r="S229" s="195"/>
      <c r="T229" s="192"/>
      <c r="U229" s="192"/>
      <c r="V229" s="192"/>
      <c r="W229" s="192"/>
      <c r="X229" s="189"/>
      <c r="Y229" s="190"/>
      <c r="Z229" s="196"/>
      <c r="AA229" s="190"/>
      <c r="AB229" s="197"/>
      <c r="AC229" s="190"/>
    </row>
    <row r="230" spans="13:29" ht="15.5" x14ac:dyDescent="0.35">
      <c r="M230" s="329"/>
      <c r="N230" s="158"/>
      <c r="O230" s="158"/>
      <c r="P230" s="184"/>
      <c r="Q230" s="185"/>
      <c r="R230" s="186"/>
      <c r="S230" s="187"/>
      <c r="T230" s="173"/>
      <c r="U230" s="192"/>
      <c r="V230" s="192"/>
      <c r="W230" s="189"/>
      <c r="X230" s="189"/>
      <c r="Y230" s="190"/>
      <c r="Z230" s="193"/>
      <c r="AA230" s="190"/>
      <c r="AB230" s="190"/>
      <c r="AC230" s="190"/>
    </row>
    <row r="231" spans="13:29" ht="15.5" x14ac:dyDescent="0.35">
      <c r="M231" s="329"/>
      <c r="N231" s="158"/>
      <c r="O231" s="158"/>
      <c r="P231" s="184"/>
      <c r="Q231" s="185"/>
      <c r="R231" s="186"/>
      <c r="S231" s="187"/>
      <c r="T231" s="173"/>
      <c r="U231" s="192"/>
      <c r="V231" s="192"/>
      <c r="W231" s="189"/>
      <c r="X231" s="192"/>
      <c r="Y231" s="190"/>
      <c r="Z231" s="193"/>
      <c r="AA231" s="190"/>
      <c r="AB231" s="190"/>
      <c r="AC231" s="190"/>
    </row>
    <row r="232" spans="13:29" ht="15.5" x14ac:dyDescent="0.35">
      <c r="M232" s="329"/>
      <c r="N232" s="158"/>
      <c r="O232" s="158"/>
      <c r="P232" s="168"/>
      <c r="Q232" s="194"/>
      <c r="R232" s="195"/>
      <c r="S232" s="195"/>
      <c r="T232" s="192"/>
      <c r="U232" s="192"/>
      <c r="V232" s="192"/>
      <c r="W232" s="192"/>
      <c r="X232" s="192"/>
      <c r="Y232" s="190"/>
      <c r="Z232" s="196"/>
      <c r="AA232" s="190"/>
      <c r="AB232" s="197"/>
      <c r="AC232" s="190"/>
    </row>
    <row r="233" spans="13:29" ht="15.5" x14ac:dyDescent="0.35">
      <c r="M233" s="329"/>
      <c r="N233" s="158"/>
      <c r="O233" s="158"/>
      <c r="P233" s="184"/>
      <c r="Q233" s="185"/>
      <c r="R233" s="186"/>
      <c r="S233" s="187"/>
      <c r="T233" s="173"/>
      <c r="U233" s="192"/>
      <c r="V233" s="192"/>
      <c r="W233" s="189"/>
      <c r="X233" s="189"/>
      <c r="Y233" s="190"/>
      <c r="Z233" s="193"/>
      <c r="AA233" s="190"/>
      <c r="AB233" s="190"/>
      <c r="AC233" s="190"/>
    </row>
    <row r="234" spans="13:29" ht="15.5" x14ac:dyDescent="0.35">
      <c r="M234" s="329"/>
      <c r="N234" s="158"/>
      <c r="O234" s="158"/>
      <c r="P234" s="168"/>
      <c r="Q234" s="194"/>
      <c r="R234" s="195"/>
      <c r="S234" s="195"/>
      <c r="T234" s="192"/>
      <c r="U234" s="192"/>
      <c r="V234" s="192"/>
      <c r="W234" s="192"/>
      <c r="X234" s="192"/>
      <c r="Y234" s="190"/>
      <c r="Z234" s="196"/>
      <c r="AA234" s="190"/>
      <c r="AB234" s="197"/>
      <c r="AC234" s="190"/>
    </row>
    <row r="235" spans="13:29" ht="15.5" x14ac:dyDescent="0.35">
      <c r="M235" s="329"/>
      <c r="N235" s="158"/>
      <c r="O235" s="158"/>
      <c r="P235" s="168"/>
      <c r="Q235" s="194"/>
      <c r="R235" s="195"/>
      <c r="S235" s="195"/>
      <c r="T235" s="192"/>
      <c r="U235" s="192"/>
      <c r="V235" s="192"/>
      <c r="W235" s="192"/>
      <c r="X235" s="192"/>
      <c r="Y235" s="190"/>
      <c r="Z235" s="196"/>
      <c r="AA235" s="190"/>
      <c r="AB235" s="197"/>
      <c r="AC235" s="190"/>
    </row>
    <row r="236" spans="13:29" ht="15.5" x14ac:dyDescent="0.35">
      <c r="M236" s="329"/>
      <c r="N236" s="158"/>
      <c r="O236" s="158"/>
      <c r="P236" s="184"/>
      <c r="Q236" s="185"/>
      <c r="R236" s="186"/>
      <c r="S236" s="187"/>
      <c r="T236" s="188"/>
      <c r="U236" s="188"/>
      <c r="V236" s="188"/>
      <c r="W236" s="189"/>
      <c r="X236" s="189"/>
      <c r="Y236" s="190"/>
      <c r="Z236" s="191"/>
      <c r="AA236" s="190"/>
      <c r="AB236" s="204"/>
      <c r="AC236" s="190"/>
    </row>
    <row r="237" spans="13:29" ht="15.5" x14ac:dyDescent="0.35">
      <c r="M237" s="329"/>
      <c r="N237" s="158"/>
      <c r="O237" s="158"/>
      <c r="P237" s="184"/>
      <c r="Q237" s="185"/>
      <c r="R237" s="186"/>
      <c r="S237" s="187"/>
      <c r="T237" s="173"/>
      <c r="U237" s="192"/>
      <c r="V237" s="192"/>
      <c r="W237" s="189"/>
      <c r="X237" s="189"/>
      <c r="Y237" s="190"/>
      <c r="Z237" s="193"/>
      <c r="AA237" s="190"/>
      <c r="AB237" s="190"/>
      <c r="AC237" s="190"/>
    </row>
    <row r="238" spans="13:29" ht="15.5" x14ac:dyDescent="0.35">
      <c r="M238" s="329"/>
      <c r="N238" s="158"/>
      <c r="O238" s="158"/>
      <c r="P238" s="184"/>
      <c r="Q238" s="185"/>
      <c r="R238" s="186"/>
      <c r="S238" s="187"/>
      <c r="T238" s="188"/>
      <c r="U238" s="188"/>
      <c r="V238" s="188"/>
      <c r="W238" s="189"/>
      <c r="X238" s="189"/>
      <c r="Y238" s="190"/>
      <c r="Z238" s="191"/>
      <c r="AA238" s="190"/>
      <c r="AB238" s="204"/>
      <c r="AC238" s="190"/>
    </row>
    <row r="239" spans="13:29" ht="15.5" x14ac:dyDescent="0.35">
      <c r="M239" s="329"/>
      <c r="N239" s="158"/>
      <c r="O239" s="158"/>
      <c r="P239" s="168"/>
      <c r="Q239" s="194"/>
      <c r="R239" s="195"/>
      <c r="S239" s="195"/>
      <c r="T239" s="192"/>
      <c r="U239" s="192"/>
      <c r="V239" s="192"/>
      <c r="W239" s="192"/>
      <c r="X239" s="192"/>
      <c r="Y239" s="190"/>
      <c r="Z239" s="196"/>
      <c r="AA239" s="190"/>
      <c r="AB239" s="197"/>
      <c r="AC239" s="190"/>
    </row>
    <row r="240" spans="13:29" ht="15.5" x14ac:dyDescent="0.35">
      <c r="M240" s="329"/>
      <c r="N240" s="158"/>
      <c r="O240" s="158"/>
      <c r="P240" s="168"/>
      <c r="Q240" s="194"/>
      <c r="R240" s="195"/>
      <c r="S240" s="195"/>
      <c r="T240" s="192"/>
      <c r="U240" s="192"/>
      <c r="V240" s="192"/>
      <c r="W240" s="192"/>
      <c r="X240" s="192"/>
      <c r="Y240" s="190"/>
      <c r="Z240" s="196"/>
      <c r="AA240" s="190"/>
      <c r="AB240" s="197"/>
      <c r="AC240" s="190"/>
    </row>
    <row r="241" spans="13:29" ht="15.5" x14ac:dyDescent="0.35">
      <c r="M241" s="329"/>
      <c r="N241" s="158"/>
      <c r="O241" s="158"/>
      <c r="P241" s="168"/>
      <c r="Q241" s="194"/>
      <c r="R241" s="195"/>
      <c r="S241" s="195"/>
      <c r="T241" s="192"/>
      <c r="U241" s="192"/>
      <c r="V241" s="192"/>
      <c r="W241" s="192"/>
      <c r="X241" s="192"/>
      <c r="Y241" s="190"/>
      <c r="Z241" s="196"/>
      <c r="AA241" s="190"/>
      <c r="AB241" s="197"/>
      <c r="AC241" s="190"/>
    </row>
    <row r="242" spans="13:29" ht="15.5" x14ac:dyDescent="0.35">
      <c r="M242" s="329"/>
      <c r="N242" s="158"/>
      <c r="O242" s="158"/>
      <c r="P242" s="184"/>
      <c r="Q242" s="185"/>
      <c r="R242" s="186"/>
      <c r="S242" s="187"/>
      <c r="T242" s="173"/>
      <c r="U242" s="192"/>
      <c r="V242" s="192"/>
      <c r="W242" s="189"/>
      <c r="X242" s="189"/>
      <c r="Y242" s="190"/>
      <c r="Z242" s="193"/>
      <c r="AA242" s="190"/>
      <c r="AB242" s="190"/>
      <c r="AC242" s="190"/>
    </row>
    <row r="243" spans="13:29" ht="15.5" x14ac:dyDescent="0.35">
      <c r="M243" s="329"/>
      <c r="N243" s="158"/>
      <c r="O243" s="199"/>
      <c r="P243" s="200"/>
      <c r="Q243" s="201"/>
      <c r="R243" s="195"/>
      <c r="S243" s="202"/>
      <c r="T243" s="203"/>
      <c r="U243" s="203"/>
      <c r="V243" s="203"/>
      <c r="W243" s="192"/>
      <c r="X243" s="192"/>
      <c r="Y243" s="190"/>
      <c r="Z243" s="193"/>
      <c r="AA243" s="190"/>
      <c r="AB243" s="190"/>
      <c r="AC243" s="190"/>
    </row>
    <row r="244" spans="13:29" ht="15.5" x14ac:dyDescent="0.35">
      <c r="M244" s="329"/>
      <c r="N244" s="158"/>
      <c r="O244" s="199"/>
      <c r="P244" s="200"/>
      <c r="Q244" s="201"/>
      <c r="R244" s="195"/>
      <c r="S244" s="202"/>
      <c r="T244" s="203"/>
      <c r="U244" s="203"/>
      <c r="V244" s="203"/>
      <c r="W244" s="192"/>
      <c r="X244" s="192"/>
      <c r="Y244" s="190"/>
      <c r="Z244" s="193"/>
      <c r="AA244" s="190"/>
      <c r="AB244" s="190"/>
      <c r="AC244" s="190"/>
    </row>
    <row r="245" spans="13:29" ht="15.5" x14ac:dyDescent="0.35">
      <c r="M245" s="329"/>
      <c r="N245" s="158"/>
      <c r="O245" s="158"/>
      <c r="P245" s="168"/>
      <c r="Q245" s="194"/>
      <c r="R245" s="195"/>
      <c r="S245" s="195"/>
      <c r="T245" s="192"/>
      <c r="U245" s="192"/>
      <c r="V245" s="192"/>
      <c r="W245" s="192"/>
      <c r="X245" s="192"/>
      <c r="Y245" s="190"/>
      <c r="Z245" s="196"/>
      <c r="AA245" s="190"/>
      <c r="AB245" s="197"/>
      <c r="AC245" s="190"/>
    </row>
    <row r="246" spans="13:29" ht="15.5" x14ac:dyDescent="0.35">
      <c r="M246" s="329"/>
      <c r="N246" s="158"/>
      <c r="O246" s="158"/>
      <c r="P246" s="168"/>
      <c r="Q246" s="194"/>
      <c r="R246" s="195"/>
      <c r="S246" s="195"/>
      <c r="T246" s="192"/>
      <c r="U246" s="192"/>
      <c r="V246" s="192"/>
      <c r="W246" s="192"/>
      <c r="X246" s="189"/>
      <c r="Y246" s="190"/>
      <c r="Z246" s="196"/>
      <c r="AA246" s="190"/>
      <c r="AB246" s="197"/>
      <c r="AC246" s="190"/>
    </row>
    <row r="247" spans="13:29" ht="15.5" x14ac:dyDescent="0.35">
      <c r="M247" s="329"/>
      <c r="N247" s="158"/>
      <c r="O247" s="158"/>
      <c r="P247" s="168"/>
      <c r="Q247" s="194"/>
      <c r="R247" s="195"/>
      <c r="S247" s="195"/>
      <c r="T247" s="192"/>
      <c r="U247" s="192"/>
      <c r="V247" s="192"/>
      <c r="W247" s="192"/>
      <c r="X247" s="192"/>
      <c r="Y247" s="190"/>
      <c r="Z247" s="196"/>
      <c r="AA247" s="190"/>
      <c r="AB247" s="197"/>
      <c r="AC247" s="190"/>
    </row>
    <row r="248" spans="13:29" ht="15.5" x14ac:dyDescent="0.35">
      <c r="M248" s="329"/>
      <c r="N248" s="158"/>
      <c r="O248" s="158"/>
      <c r="P248" s="168"/>
      <c r="Q248" s="194"/>
      <c r="R248" s="195"/>
      <c r="S248" s="195"/>
      <c r="T248" s="192"/>
      <c r="U248" s="192"/>
      <c r="V248" s="192"/>
      <c r="W248" s="192"/>
      <c r="X248" s="189"/>
      <c r="Y248" s="190"/>
      <c r="Z248" s="196"/>
      <c r="AA248" s="190"/>
      <c r="AB248" s="197"/>
      <c r="AC248" s="190"/>
    </row>
    <row r="249" spans="13:29" ht="15.5" x14ac:dyDescent="0.35">
      <c r="M249" s="329"/>
      <c r="N249" s="158"/>
      <c r="O249" s="158"/>
      <c r="P249" s="168"/>
      <c r="Q249" s="194"/>
      <c r="R249" s="195"/>
      <c r="S249" s="195"/>
      <c r="T249" s="192"/>
      <c r="U249" s="192"/>
      <c r="V249" s="192"/>
      <c r="W249" s="192"/>
      <c r="X249" s="192"/>
      <c r="Y249" s="190"/>
      <c r="Z249" s="196"/>
      <c r="AA249" s="190"/>
      <c r="AB249" s="197"/>
      <c r="AC249" s="190"/>
    </row>
    <row r="250" spans="13:29" ht="15.5" x14ac:dyDescent="0.35">
      <c r="M250" s="329"/>
      <c r="N250" s="158"/>
      <c r="O250" s="158"/>
      <c r="P250" s="168"/>
      <c r="Q250" s="216"/>
      <c r="R250" s="195"/>
      <c r="S250" s="195"/>
      <c r="T250" s="192"/>
      <c r="U250" s="192"/>
      <c r="V250" s="192"/>
      <c r="W250" s="192"/>
      <c r="X250" s="192"/>
      <c r="Y250" s="190"/>
      <c r="Z250" s="212"/>
      <c r="AA250" s="190"/>
      <c r="AB250" s="190"/>
      <c r="AC250" s="190"/>
    </row>
    <row r="251" spans="13:29" ht="15.5" x14ac:dyDescent="0.35">
      <c r="M251" s="329"/>
      <c r="N251" s="158"/>
      <c r="O251" s="158"/>
      <c r="P251" s="184"/>
      <c r="Q251" s="185"/>
      <c r="R251" s="186"/>
      <c r="S251" s="187"/>
      <c r="T251" s="188"/>
      <c r="U251" s="188"/>
      <c r="V251" s="188"/>
      <c r="W251" s="189"/>
      <c r="X251" s="189"/>
      <c r="Y251" s="190"/>
      <c r="Z251" s="191"/>
      <c r="AA251" s="190"/>
      <c r="AB251" s="204"/>
      <c r="AC251" s="190"/>
    </row>
    <row r="252" spans="13:29" ht="15.5" x14ac:dyDescent="0.35">
      <c r="M252" s="329"/>
      <c r="N252" s="158"/>
      <c r="O252" s="158"/>
      <c r="P252" s="168"/>
      <c r="Q252" s="194"/>
      <c r="R252" s="195"/>
      <c r="S252" s="195"/>
      <c r="T252" s="192"/>
      <c r="U252" s="192"/>
      <c r="V252" s="192"/>
      <c r="W252" s="192"/>
      <c r="X252" s="192"/>
      <c r="Y252" s="190"/>
      <c r="Z252" s="196"/>
      <c r="AA252" s="190"/>
      <c r="AB252" s="197"/>
      <c r="AC252" s="190"/>
    </row>
    <row r="253" spans="13:29" ht="15.5" x14ac:dyDescent="0.35">
      <c r="M253" s="329"/>
      <c r="N253" s="158"/>
      <c r="O253" s="158"/>
      <c r="P253" s="184"/>
      <c r="Q253" s="185"/>
      <c r="R253" s="186"/>
      <c r="S253" s="187"/>
      <c r="T253" s="173"/>
      <c r="U253" s="192"/>
      <c r="V253" s="192"/>
      <c r="W253" s="189"/>
      <c r="X253" s="189"/>
      <c r="Y253" s="190"/>
      <c r="Z253" s="193"/>
      <c r="AA253" s="190"/>
      <c r="AB253" s="190"/>
      <c r="AC253" s="190"/>
    </row>
    <row r="254" spans="13:29" ht="15.5" x14ac:dyDescent="0.35">
      <c r="M254" s="329"/>
      <c r="N254" s="158"/>
      <c r="O254" s="158"/>
      <c r="P254" s="168"/>
      <c r="Q254" s="194"/>
      <c r="R254" s="195"/>
      <c r="S254" s="195"/>
      <c r="T254" s="192"/>
      <c r="U254" s="192"/>
      <c r="V254" s="192"/>
      <c r="W254" s="192"/>
      <c r="X254" s="192"/>
      <c r="Y254" s="190"/>
      <c r="Z254" s="196"/>
      <c r="AA254" s="190"/>
      <c r="AB254" s="197"/>
      <c r="AC254" s="190"/>
    </row>
    <row r="255" spans="13:29" ht="15.5" x14ac:dyDescent="0.35">
      <c r="M255" s="329"/>
      <c r="N255" s="158"/>
      <c r="O255" s="158"/>
      <c r="P255" s="168"/>
      <c r="Q255" s="194"/>
      <c r="R255" s="195"/>
      <c r="S255" s="195"/>
      <c r="T255" s="192"/>
      <c r="U255" s="192"/>
      <c r="V255" s="192"/>
      <c r="W255" s="192"/>
      <c r="X255" s="192"/>
      <c r="Y255" s="190"/>
      <c r="Z255" s="196"/>
      <c r="AA255" s="190"/>
      <c r="AB255" s="197"/>
      <c r="AC255" s="190"/>
    </row>
    <row r="256" spans="13:29" ht="15.5" x14ac:dyDescent="0.35">
      <c r="M256" s="329"/>
      <c r="N256" s="158"/>
      <c r="O256" s="158"/>
      <c r="P256" s="184"/>
      <c r="Q256" s="185"/>
      <c r="R256" s="186"/>
      <c r="S256" s="187"/>
      <c r="T256" s="188"/>
      <c r="U256" s="188"/>
      <c r="V256" s="188"/>
      <c r="W256" s="189"/>
      <c r="X256" s="189"/>
      <c r="Y256" s="190"/>
      <c r="Z256" s="191"/>
      <c r="AA256" s="190"/>
      <c r="AB256" s="204"/>
      <c r="AC256" s="190"/>
    </row>
    <row r="257" spans="13:29" ht="15.5" x14ac:dyDescent="0.35">
      <c r="M257" s="329"/>
      <c r="N257" s="158"/>
      <c r="O257" s="158"/>
      <c r="P257" s="168"/>
      <c r="Q257" s="194"/>
      <c r="R257" s="195"/>
      <c r="S257" s="195"/>
      <c r="T257" s="192"/>
      <c r="U257" s="192"/>
      <c r="V257" s="192"/>
      <c r="W257" s="192"/>
      <c r="X257" s="189"/>
      <c r="Y257" s="190"/>
      <c r="Z257" s="196"/>
      <c r="AA257" s="190"/>
      <c r="AB257" s="197"/>
      <c r="AC257" s="190"/>
    </row>
    <row r="258" spans="13:29" ht="15.5" x14ac:dyDescent="0.35">
      <c r="M258" s="329"/>
      <c r="N258" s="158"/>
      <c r="O258" s="158"/>
      <c r="P258" s="184"/>
      <c r="Q258" s="185"/>
      <c r="R258" s="186"/>
      <c r="S258" s="187"/>
      <c r="T258" s="188"/>
      <c r="U258" s="188"/>
      <c r="V258" s="188"/>
      <c r="W258" s="189"/>
      <c r="X258" s="189"/>
      <c r="Y258" s="190"/>
      <c r="Z258" s="191"/>
      <c r="AA258" s="190"/>
      <c r="AB258" s="204"/>
      <c r="AC258" s="190"/>
    </row>
    <row r="259" spans="13:29" ht="15.5" x14ac:dyDescent="0.35">
      <c r="M259" s="329"/>
      <c r="N259" s="158"/>
      <c r="O259" s="158"/>
      <c r="P259" s="184"/>
      <c r="Q259" s="185"/>
      <c r="R259" s="186"/>
      <c r="S259" s="187"/>
      <c r="T259" s="173"/>
      <c r="U259" s="192"/>
      <c r="V259" s="192"/>
      <c r="W259" s="189"/>
      <c r="X259" s="189"/>
      <c r="Y259" s="190"/>
      <c r="Z259" s="193"/>
      <c r="AA259" s="190"/>
      <c r="AB259" s="190"/>
      <c r="AC259" s="190"/>
    </row>
    <row r="260" spans="13:29" ht="15.5" x14ac:dyDescent="0.35">
      <c r="M260" s="329"/>
      <c r="N260" s="158"/>
      <c r="O260" s="158"/>
      <c r="P260" s="168"/>
      <c r="Q260" s="194"/>
      <c r="R260" s="195"/>
      <c r="S260" s="195"/>
      <c r="T260" s="192"/>
      <c r="U260" s="192"/>
      <c r="V260" s="192"/>
      <c r="W260" s="192"/>
      <c r="X260" s="192"/>
      <c r="Y260" s="190"/>
      <c r="Z260" s="196"/>
      <c r="AA260" s="190"/>
      <c r="AB260" s="197"/>
      <c r="AC260" s="190"/>
    </row>
    <row r="261" spans="13:29" ht="15.5" x14ac:dyDescent="0.35">
      <c r="M261" s="329"/>
      <c r="N261" s="158"/>
      <c r="O261" s="158"/>
      <c r="P261" s="168"/>
      <c r="Q261" s="194"/>
      <c r="R261" s="195"/>
      <c r="S261" s="195"/>
      <c r="T261" s="192"/>
      <c r="U261" s="192"/>
      <c r="V261" s="192"/>
      <c r="W261" s="192"/>
      <c r="X261" s="192"/>
      <c r="Y261" s="190"/>
      <c r="Z261" s="196"/>
      <c r="AA261" s="190"/>
      <c r="AB261" s="197"/>
      <c r="AC261" s="190"/>
    </row>
    <row r="262" spans="13:29" ht="15.5" x14ac:dyDescent="0.35">
      <c r="M262" s="329"/>
      <c r="N262" s="158"/>
      <c r="O262" s="158"/>
      <c r="P262" s="168"/>
      <c r="Q262" s="216"/>
      <c r="R262" s="195"/>
      <c r="S262" s="195"/>
      <c r="T262" s="192"/>
      <c r="U262" s="192"/>
      <c r="V262" s="192"/>
      <c r="W262" s="192"/>
      <c r="X262" s="192"/>
      <c r="Y262" s="190"/>
      <c r="Z262" s="212"/>
      <c r="AA262" s="190"/>
      <c r="AB262" s="190"/>
      <c r="AC262" s="190"/>
    </row>
    <row r="263" spans="13:29" ht="15.5" x14ac:dyDescent="0.35">
      <c r="M263" s="329"/>
      <c r="N263" s="158"/>
      <c r="O263" s="158"/>
      <c r="P263" s="184"/>
      <c r="Q263" s="185"/>
      <c r="R263" s="186"/>
      <c r="S263" s="187"/>
      <c r="T263" s="173"/>
      <c r="U263" s="192"/>
      <c r="V263" s="192"/>
      <c r="W263" s="189"/>
      <c r="X263" s="189"/>
      <c r="Y263" s="190"/>
      <c r="Z263" s="193"/>
      <c r="AA263" s="190"/>
      <c r="AB263" s="190"/>
      <c r="AC263" s="190"/>
    </row>
    <row r="264" spans="13:29" ht="15.5" x14ac:dyDescent="0.35">
      <c r="M264" s="329"/>
      <c r="N264" s="158"/>
      <c r="O264" s="158"/>
      <c r="P264" s="184"/>
      <c r="Q264" s="185"/>
      <c r="R264" s="186"/>
      <c r="S264" s="187"/>
      <c r="T264" s="173"/>
      <c r="U264" s="192"/>
      <c r="V264" s="192"/>
      <c r="W264" s="189"/>
      <c r="X264" s="189"/>
      <c r="Y264" s="190"/>
      <c r="Z264" s="193"/>
      <c r="AA264" s="190"/>
      <c r="AB264" s="190"/>
      <c r="AC264" s="190"/>
    </row>
    <row r="265" spans="13:29" ht="15.5" x14ac:dyDescent="0.35">
      <c r="M265" s="329"/>
      <c r="N265" s="158"/>
      <c r="O265" s="158"/>
      <c r="P265" s="168"/>
      <c r="Q265" s="194"/>
      <c r="R265" s="195"/>
      <c r="S265" s="195"/>
      <c r="T265" s="192"/>
      <c r="U265" s="192"/>
      <c r="V265" s="192"/>
      <c r="W265" s="192"/>
      <c r="X265" s="192"/>
      <c r="Y265" s="190"/>
      <c r="Z265" s="196"/>
      <c r="AA265" s="190"/>
      <c r="AB265" s="197"/>
      <c r="AC265" s="190"/>
    </row>
    <row r="266" spans="13:29" ht="15.5" x14ac:dyDescent="0.35">
      <c r="M266" s="329"/>
      <c r="N266" s="158"/>
      <c r="O266" s="158"/>
      <c r="P266" s="168"/>
      <c r="Q266" s="194"/>
      <c r="R266" s="195"/>
      <c r="S266" s="195"/>
      <c r="T266" s="192"/>
      <c r="U266" s="192"/>
      <c r="V266" s="192"/>
      <c r="W266" s="192"/>
      <c r="X266" s="189"/>
      <c r="Y266" s="190"/>
      <c r="Z266" s="196"/>
      <c r="AA266" s="190"/>
      <c r="AB266" s="197"/>
      <c r="AC266" s="190"/>
    </row>
    <row r="267" spans="13:29" ht="15.5" x14ac:dyDescent="0.35">
      <c r="M267" s="329"/>
      <c r="N267" s="158"/>
      <c r="O267" s="158"/>
      <c r="P267" s="168"/>
      <c r="Q267" s="194"/>
      <c r="R267" s="195"/>
      <c r="S267" s="195"/>
      <c r="T267" s="192"/>
      <c r="U267" s="192"/>
      <c r="V267" s="192"/>
      <c r="W267" s="192"/>
      <c r="X267" s="192"/>
      <c r="Y267" s="190"/>
      <c r="Z267" s="196"/>
      <c r="AA267" s="190"/>
      <c r="AB267" s="197"/>
      <c r="AC267" s="190"/>
    </row>
    <row r="268" spans="13:29" ht="15.5" x14ac:dyDescent="0.35">
      <c r="M268" s="329"/>
      <c r="N268" s="158"/>
      <c r="O268" s="158"/>
      <c r="P268" s="168"/>
      <c r="Q268" s="194"/>
      <c r="R268" s="195"/>
      <c r="S268" s="195"/>
      <c r="T268" s="192"/>
      <c r="U268" s="192"/>
      <c r="V268" s="192"/>
      <c r="W268" s="192"/>
      <c r="X268" s="192"/>
      <c r="Y268" s="190"/>
      <c r="Z268" s="196"/>
      <c r="AA268" s="190"/>
      <c r="AB268" s="197"/>
      <c r="AC268" s="190"/>
    </row>
    <row r="269" spans="13:29" ht="15.5" x14ac:dyDescent="0.35">
      <c r="M269" s="329"/>
      <c r="N269" s="158"/>
      <c r="O269" s="158"/>
      <c r="P269" s="168"/>
      <c r="Q269" s="194"/>
      <c r="R269" s="195"/>
      <c r="S269" s="195"/>
      <c r="T269" s="192"/>
      <c r="U269" s="192"/>
      <c r="V269" s="192"/>
      <c r="W269" s="192"/>
      <c r="X269" s="192"/>
      <c r="Y269" s="190"/>
      <c r="Z269" s="196"/>
      <c r="AA269" s="190"/>
      <c r="AB269" s="197"/>
      <c r="AC269" s="190"/>
    </row>
    <row r="270" spans="13:29" ht="15.5" x14ac:dyDescent="0.35">
      <c r="M270" s="329"/>
      <c r="N270" s="158"/>
      <c r="O270" s="158"/>
      <c r="P270" s="168"/>
      <c r="Q270" s="194"/>
      <c r="R270" s="195"/>
      <c r="S270" s="195"/>
      <c r="T270" s="192"/>
      <c r="U270" s="192"/>
      <c r="V270" s="192"/>
      <c r="W270" s="192"/>
      <c r="X270" s="189"/>
      <c r="Y270" s="190"/>
      <c r="Z270" s="196"/>
      <c r="AA270" s="190"/>
      <c r="AB270" s="197"/>
      <c r="AC270" s="190"/>
    </row>
    <row r="271" spans="13:29" ht="15.5" x14ac:dyDescent="0.35">
      <c r="M271" s="329"/>
      <c r="N271" s="158"/>
      <c r="O271" s="158"/>
      <c r="P271" s="168"/>
      <c r="Q271" s="194"/>
      <c r="R271" s="195"/>
      <c r="S271" s="195"/>
      <c r="T271" s="192"/>
      <c r="U271" s="192"/>
      <c r="V271" s="192"/>
      <c r="W271" s="192"/>
      <c r="X271" s="192"/>
      <c r="Y271" s="190"/>
      <c r="Z271" s="196"/>
      <c r="AA271" s="190"/>
      <c r="AB271" s="197"/>
      <c r="AC271" s="190"/>
    </row>
    <row r="272" spans="13:29" ht="15.5" x14ac:dyDescent="0.35">
      <c r="M272" s="329"/>
      <c r="N272" s="198"/>
      <c r="O272" s="158"/>
      <c r="P272" s="184"/>
      <c r="Q272" s="185"/>
      <c r="R272" s="186"/>
      <c r="S272" s="187"/>
      <c r="T272" s="173"/>
      <c r="U272" s="192"/>
      <c r="V272" s="192"/>
      <c r="W272" s="189"/>
      <c r="X272" s="192"/>
      <c r="Y272" s="190"/>
      <c r="Z272" s="193"/>
      <c r="AA272" s="190"/>
      <c r="AB272" s="190"/>
      <c r="AC272" s="190"/>
    </row>
    <row r="273" spans="13:29" ht="15.5" x14ac:dyDescent="0.35">
      <c r="M273" s="329"/>
      <c r="N273" s="158"/>
      <c r="O273" s="158"/>
      <c r="P273" s="168"/>
      <c r="Q273" s="194"/>
      <c r="R273" s="195"/>
      <c r="S273" s="195"/>
      <c r="T273" s="192"/>
      <c r="U273" s="192"/>
      <c r="V273" s="192"/>
      <c r="W273" s="192"/>
      <c r="X273" s="192"/>
      <c r="Y273" s="190"/>
      <c r="Z273" s="196"/>
      <c r="AA273" s="190"/>
      <c r="AB273" s="197"/>
      <c r="AC273" s="190"/>
    </row>
    <row r="274" spans="13:29" ht="15.5" x14ac:dyDescent="0.35">
      <c r="M274" s="329"/>
      <c r="N274" s="158"/>
      <c r="O274" s="158"/>
      <c r="P274" s="168"/>
      <c r="Q274" s="194"/>
      <c r="R274" s="195"/>
      <c r="S274" s="195"/>
      <c r="T274" s="192"/>
      <c r="U274" s="192"/>
      <c r="V274" s="192"/>
      <c r="W274" s="192"/>
      <c r="X274" s="192"/>
      <c r="Y274" s="190"/>
      <c r="Z274" s="196"/>
      <c r="AA274" s="190"/>
      <c r="AB274" s="197"/>
      <c r="AC274" s="190"/>
    </row>
    <row r="275" spans="13:29" ht="15.5" x14ac:dyDescent="0.35">
      <c r="M275" s="329"/>
      <c r="N275" s="158"/>
      <c r="O275" s="158"/>
      <c r="P275" s="168"/>
      <c r="Q275" s="194"/>
      <c r="R275" s="195"/>
      <c r="S275" s="195"/>
      <c r="T275" s="192"/>
      <c r="U275" s="192"/>
      <c r="V275" s="192"/>
      <c r="W275" s="192"/>
      <c r="X275" s="192"/>
      <c r="Y275" s="190"/>
      <c r="Z275" s="196"/>
      <c r="AA275" s="190"/>
      <c r="AB275" s="197"/>
      <c r="AC275" s="190"/>
    </row>
    <row r="276" spans="13:29" ht="15.5" x14ac:dyDescent="0.35">
      <c r="M276" s="329"/>
      <c r="N276" s="158"/>
      <c r="O276" s="158"/>
      <c r="P276" s="168"/>
      <c r="Q276" s="194"/>
      <c r="R276" s="195"/>
      <c r="S276" s="195"/>
      <c r="T276" s="342"/>
      <c r="U276" s="192"/>
      <c r="V276" s="192"/>
      <c r="W276" s="192"/>
      <c r="X276" s="189"/>
      <c r="Y276" s="190"/>
      <c r="Z276" s="196"/>
      <c r="AA276" s="190"/>
      <c r="AB276" s="197"/>
      <c r="AC276" s="190"/>
    </row>
    <row r="277" spans="13:29" ht="15.5" x14ac:dyDescent="0.35">
      <c r="M277" s="329"/>
      <c r="N277" s="158"/>
      <c r="O277" s="158"/>
      <c r="P277" s="184"/>
      <c r="Q277" s="185"/>
      <c r="R277" s="186"/>
      <c r="S277" s="187"/>
      <c r="T277" s="173"/>
      <c r="U277" s="192"/>
      <c r="V277" s="192"/>
      <c r="W277" s="189"/>
      <c r="X277" s="189"/>
      <c r="Y277" s="190"/>
      <c r="Z277" s="193"/>
      <c r="AA277" s="190"/>
      <c r="AB277" s="190"/>
      <c r="AC277" s="190"/>
    </row>
    <row r="278" spans="13:29" ht="15.5" x14ac:dyDescent="0.35">
      <c r="M278" s="329"/>
      <c r="N278" s="158"/>
      <c r="O278" s="158"/>
      <c r="P278" s="184"/>
      <c r="Q278" s="185"/>
      <c r="R278" s="186"/>
      <c r="S278" s="187"/>
      <c r="T278" s="173"/>
      <c r="U278" s="192"/>
      <c r="V278" s="192"/>
      <c r="W278" s="189"/>
      <c r="X278" s="192"/>
      <c r="Y278" s="190"/>
      <c r="Z278" s="193"/>
      <c r="AA278" s="190"/>
      <c r="AB278" s="190"/>
      <c r="AC278" s="190"/>
    </row>
    <row r="279" spans="13:29" ht="15.5" x14ac:dyDescent="0.35">
      <c r="M279" s="329"/>
      <c r="N279" s="158"/>
      <c r="O279" s="158"/>
      <c r="P279" s="168"/>
      <c r="Q279" s="194"/>
      <c r="R279" s="195"/>
      <c r="S279" s="195"/>
      <c r="T279" s="192"/>
      <c r="U279" s="192"/>
      <c r="V279" s="192"/>
      <c r="W279" s="192"/>
      <c r="X279" s="192"/>
      <c r="Y279" s="190"/>
      <c r="Z279" s="196"/>
      <c r="AA279" s="190"/>
      <c r="AB279" s="197"/>
      <c r="AC279" s="190"/>
    </row>
    <row r="280" spans="13:29" ht="15.5" x14ac:dyDescent="0.35">
      <c r="M280" s="329"/>
      <c r="N280" s="158"/>
      <c r="O280" s="158"/>
      <c r="P280" s="168"/>
      <c r="Q280" s="194"/>
      <c r="R280" s="195"/>
      <c r="S280" s="195"/>
      <c r="T280" s="192"/>
      <c r="U280" s="192"/>
      <c r="V280" s="192"/>
      <c r="W280" s="192"/>
      <c r="X280" s="192"/>
      <c r="Y280" s="190"/>
      <c r="Z280" s="196"/>
      <c r="AA280" s="190"/>
      <c r="AB280" s="197"/>
      <c r="AC280" s="190"/>
    </row>
    <row r="281" spans="13:29" ht="15.5" x14ac:dyDescent="0.35">
      <c r="M281" s="329"/>
      <c r="N281" s="158"/>
      <c r="O281" s="158"/>
      <c r="P281" s="168"/>
      <c r="Q281" s="194"/>
      <c r="R281" s="195"/>
      <c r="S281" s="195"/>
      <c r="T281" s="192"/>
      <c r="U281" s="192"/>
      <c r="V281" s="192"/>
      <c r="W281" s="192"/>
      <c r="X281" s="192"/>
      <c r="Y281" s="190"/>
      <c r="Z281" s="196"/>
      <c r="AA281" s="190"/>
      <c r="AB281" s="197"/>
      <c r="AC281" s="190"/>
    </row>
    <row r="282" spans="13:29" ht="15.5" x14ac:dyDescent="0.35">
      <c r="M282" s="329"/>
      <c r="N282" s="158"/>
      <c r="O282" s="158"/>
      <c r="P282" s="184"/>
      <c r="Q282" s="185"/>
      <c r="R282" s="186"/>
      <c r="S282" s="187"/>
      <c r="T282" s="173"/>
      <c r="U282" s="192"/>
      <c r="V282" s="192"/>
      <c r="W282" s="189"/>
      <c r="X282" s="189"/>
      <c r="Y282" s="190"/>
      <c r="Z282" s="193"/>
      <c r="AA282" s="190"/>
      <c r="AB282" s="190"/>
      <c r="AC282" s="190"/>
    </row>
    <row r="283" spans="13:29" ht="15.5" x14ac:dyDescent="0.35">
      <c r="M283" s="329"/>
      <c r="N283" s="158"/>
      <c r="O283" s="158"/>
      <c r="P283" s="184"/>
      <c r="Q283" s="185"/>
      <c r="R283" s="186"/>
      <c r="S283" s="187"/>
      <c r="T283" s="173"/>
      <c r="U283" s="192"/>
      <c r="V283" s="192"/>
      <c r="W283" s="189"/>
      <c r="X283" s="189"/>
      <c r="Y283" s="190"/>
      <c r="Z283" s="193"/>
      <c r="AA283" s="190"/>
      <c r="AB283" s="190"/>
      <c r="AC283" s="190"/>
    </row>
    <row r="284" spans="13:29" ht="15.5" x14ac:dyDescent="0.35">
      <c r="M284" s="329"/>
      <c r="N284" s="158"/>
      <c r="O284" s="158"/>
      <c r="P284" s="168"/>
      <c r="Q284" s="194"/>
      <c r="R284" s="195"/>
      <c r="S284" s="195"/>
      <c r="T284" s="192"/>
      <c r="U284" s="192"/>
      <c r="V284" s="192"/>
      <c r="W284" s="192"/>
      <c r="X284" s="192"/>
      <c r="Y284" s="190"/>
      <c r="Z284" s="196"/>
      <c r="AA284" s="190"/>
      <c r="AB284" s="197"/>
      <c r="AC284" s="190"/>
    </row>
    <row r="285" spans="13:29" ht="15.5" x14ac:dyDescent="0.35">
      <c r="M285" s="329"/>
      <c r="N285" s="158"/>
      <c r="O285" s="158"/>
      <c r="P285" s="168"/>
      <c r="Q285" s="194"/>
      <c r="R285" s="195"/>
      <c r="S285" s="195"/>
      <c r="T285" s="192"/>
      <c r="U285" s="192"/>
      <c r="V285" s="192"/>
      <c r="W285" s="192"/>
      <c r="X285" s="192"/>
      <c r="Y285" s="190"/>
      <c r="Z285" s="196"/>
      <c r="AA285" s="190"/>
      <c r="AB285" s="197"/>
      <c r="AC285" s="190"/>
    </row>
    <row r="286" spans="13:29" ht="15.5" x14ac:dyDescent="0.35">
      <c r="M286" s="329"/>
      <c r="N286" s="158"/>
      <c r="O286" s="158"/>
      <c r="P286" s="168"/>
      <c r="Q286" s="194"/>
      <c r="R286" s="195"/>
      <c r="S286" s="195"/>
      <c r="T286" s="192"/>
      <c r="U286" s="192"/>
      <c r="V286" s="192"/>
      <c r="W286" s="192"/>
      <c r="X286" s="192"/>
      <c r="Y286" s="190"/>
      <c r="Z286" s="196"/>
      <c r="AA286" s="190"/>
      <c r="AB286" s="197"/>
      <c r="AC286" s="190"/>
    </row>
    <row r="287" spans="13:29" ht="15.5" x14ac:dyDescent="0.35">
      <c r="M287" s="329"/>
      <c r="N287" s="158"/>
      <c r="O287" s="158"/>
      <c r="P287" s="168"/>
      <c r="Q287" s="194"/>
      <c r="R287" s="195"/>
      <c r="S287" s="195"/>
      <c r="T287" s="192"/>
      <c r="U287" s="192"/>
      <c r="V287" s="192"/>
      <c r="W287" s="192"/>
      <c r="X287" s="192"/>
      <c r="Y287" s="190"/>
      <c r="Z287" s="196"/>
      <c r="AA287" s="190"/>
      <c r="AB287" s="197"/>
      <c r="AC287" s="190"/>
    </row>
    <row r="288" spans="13:29" ht="15.5" x14ac:dyDescent="0.35">
      <c r="M288" s="329"/>
      <c r="N288" s="158"/>
      <c r="O288" s="158"/>
      <c r="P288" s="184"/>
      <c r="Q288" s="185"/>
      <c r="R288" s="186"/>
      <c r="S288" s="187"/>
      <c r="T288" s="173"/>
      <c r="U288" s="192"/>
      <c r="V288" s="192"/>
      <c r="W288" s="189"/>
      <c r="X288" s="192"/>
      <c r="Y288" s="190"/>
      <c r="Z288" s="193"/>
      <c r="AA288" s="190"/>
      <c r="AB288" s="190"/>
      <c r="AC288" s="190"/>
    </row>
    <row r="289" spans="13:29" ht="15.5" x14ac:dyDescent="0.35">
      <c r="M289" s="329"/>
      <c r="N289" s="158"/>
      <c r="O289" s="158"/>
      <c r="P289" s="168"/>
      <c r="Q289" s="194"/>
      <c r="R289" s="195"/>
      <c r="S289" s="195"/>
      <c r="T289" s="192"/>
      <c r="U289" s="192"/>
      <c r="V289" s="192"/>
      <c r="W289" s="192"/>
      <c r="X289" s="192"/>
      <c r="Y289" s="190"/>
      <c r="Z289" s="196"/>
      <c r="AA289" s="190"/>
      <c r="AB289" s="197"/>
      <c r="AC289" s="190"/>
    </row>
    <row r="290" spans="13:29" ht="15.5" x14ac:dyDescent="0.35">
      <c r="M290" s="329"/>
      <c r="N290" s="158"/>
      <c r="O290" s="158"/>
      <c r="P290" s="168"/>
      <c r="Q290" s="194"/>
      <c r="R290" s="195"/>
      <c r="S290" s="195"/>
      <c r="T290" s="192"/>
      <c r="U290" s="192"/>
      <c r="V290" s="192"/>
      <c r="W290" s="192"/>
      <c r="X290" s="192"/>
      <c r="Y290" s="190"/>
      <c r="Z290" s="196"/>
      <c r="AA290" s="190"/>
      <c r="AB290" s="197"/>
      <c r="AC290" s="190"/>
    </row>
    <row r="291" spans="13:29" ht="15.5" x14ac:dyDescent="0.35">
      <c r="M291" s="329"/>
      <c r="N291" s="158"/>
      <c r="O291" s="158"/>
      <c r="P291" s="184"/>
      <c r="Q291" s="185"/>
      <c r="R291" s="186"/>
      <c r="S291" s="187"/>
      <c r="T291" s="173"/>
      <c r="U291" s="192"/>
      <c r="V291" s="192"/>
      <c r="W291" s="189"/>
      <c r="X291" s="189"/>
      <c r="Y291" s="190"/>
      <c r="Z291" s="193"/>
      <c r="AA291" s="190"/>
      <c r="AB291" s="190"/>
      <c r="AC291" s="190"/>
    </row>
    <row r="292" spans="13:29" ht="15.5" x14ac:dyDescent="0.35">
      <c r="M292" s="329"/>
      <c r="N292" s="158"/>
      <c r="O292" s="158"/>
      <c r="P292" s="168"/>
      <c r="Q292" s="194"/>
      <c r="R292" s="195"/>
      <c r="S292" s="195"/>
      <c r="T292" s="192"/>
      <c r="U292" s="192"/>
      <c r="V292" s="192"/>
      <c r="W292" s="192"/>
      <c r="X292" s="192"/>
      <c r="Y292" s="190"/>
      <c r="Z292" s="196"/>
      <c r="AA292" s="190"/>
      <c r="AB292" s="197"/>
      <c r="AC292" s="190"/>
    </row>
    <row r="293" spans="13:29" ht="15.5" x14ac:dyDescent="0.35">
      <c r="M293" s="329"/>
      <c r="N293" s="158"/>
      <c r="O293" s="158"/>
      <c r="P293" s="168"/>
      <c r="Q293" s="194"/>
      <c r="R293" s="186"/>
      <c r="S293" s="195"/>
      <c r="T293" s="192"/>
      <c r="U293" s="192"/>
      <c r="V293" s="192"/>
      <c r="W293" s="192"/>
      <c r="X293" s="192"/>
      <c r="Y293" s="190"/>
      <c r="Z293" s="193"/>
      <c r="AA293" s="190"/>
      <c r="AB293" s="190"/>
      <c r="AC293" s="190"/>
    </row>
    <row r="294" spans="13:29" ht="15.5" x14ac:dyDescent="0.35">
      <c r="M294" s="329"/>
      <c r="N294" s="158"/>
      <c r="O294" s="158"/>
      <c r="P294" s="184"/>
      <c r="Q294" s="185"/>
      <c r="R294" s="186"/>
      <c r="S294" s="187"/>
      <c r="T294" s="173"/>
      <c r="U294" s="192"/>
      <c r="V294" s="192"/>
      <c r="W294" s="189"/>
      <c r="X294" s="189"/>
      <c r="Y294" s="190"/>
      <c r="Z294" s="193"/>
      <c r="AA294" s="190"/>
      <c r="AB294" s="190"/>
      <c r="AC294" s="190"/>
    </row>
    <row r="295" spans="13:29" ht="15.5" x14ac:dyDescent="0.35">
      <c r="M295" s="329"/>
      <c r="N295" s="158"/>
      <c r="O295" s="158"/>
      <c r="P295" s="168"/>
      <c r="Q295" s="194"/>
      <c r="R295" s="195"/>
      <c r="S295" s="195"/>
      <c r="T295" s="192"/>
      <c r="U295" s="192"/>
      <c r="V295" s="192"/>
      <c r="W295" s="192"/>
      <c r="X295" s="192"/>
      <c r="Y295" s="190"/>
      <c r="Z295" s="196"/>
      <c r="AA295" s="190"/>
      <c r="AB295" s="197"/>
      <c r="AC295" s="190"/>
    </row>
    <row r="296" spans="13:29" ht="15.5" x14ac:dyDescent="0.35">
      <c r="M296" s="329"/>
      <c r="N296" s="158"/>
      <c r="O296" s="158"/>
      <c r="P296" s="168"/>
      <c r="Q296" s="194"/>
      <c r="R296" s="195"/>
      <c r="S296" s="195"/>
      <c r="T296" s="192"/>
      <c r="U296" s="192"/>
      <c r="V296" s="192"/>
      <c r="W296" s="192"/>
      <c r="X296" s="192"/>
      <c r="Y296" s="190"/>
      <c r="Z296" s="196"/>
      <c r="AA296" s="190"/>
      <c r="AB296" s="197"/>
      <c r="AC296" s="190"/>
    </row>
    <row r="297" spans="13:29" ht="15.5" x14ac:dyDescent="0.35">
      <c r="M297" s="329"/>
      <c r="N297" s="158"/>
      <c r="O297" s="158"/>
      <c r="P297" s="168"/>
      <c r="Q297" s="194"/>
      <c r="R297" s="195"/>
      <c r="S297" s="195"/>
      <c r="T297" s="192"/>
      <c r="U297" s="192"/>
      <c r="V297" s="192"/>
      <c r="W297" s="192"/>
      <c r="X297" s="192"/>
      <c r="Y297" s="190"/>
      <c r="Z297" s="196"/>
      <c r="AA297" s="190"/>
      <c r="AB297" s="197"/>
      <c r="AC297" s="190"/>
    </row>
    <row r="298" spans="13:29" ht="15.5" x14ac:dyDescent="0.35">
      <c r="M298" s="329"/>
      <c r="N298" s="158"/>
      <c r="O298" s="158"/>
      <c r="P298" s="168"/>
      <c r="Q298" s="194"/>
      <c r="R298" s="195"/>
      <c r="S298" s="195"/>
      <c r="T298" s="192"/>
      <c r="U298" s="192"/>
      <c r="V298" s="192"/>
      <c r="W298" s="192"/>
      <c r="X298" s="192"/>
      <c r="Y298" s="190"/>
      <c r="Z298" s="196"/>
      <c r="AA298" s="190"/>
      <c r="AB298" s="197"/>
      <c r="AC298" s="190"/>
    </row>
    <row r="299" spans="13:29" ht="15.5" x14ac:dyDescent="0.35">
      <c r="M299" s="329"/>
      <c r="N299" s="158"/>
      <c r="O299" s="158"/>
      <c r="P299" s="168"/>
      <c r="Q299" s="194"/>
      <c r="R299" s="195"/>
      <c r="S299" s="195"/>
      <c r="T299" s="192"/>
      <c r="U299" s="192"/>
      <c r="V299" s="192"/>
      <c r="W299" s="192"/>
      <c r="X299" s="192"/>
      <c r="Y299" s="190"/>
      <c r="Z299" s="196"/>
      <c r="AA299" s="190"/>
      <c r="AB299" s="197"/>
      <c r="AC299" s="190"/>
    </row>
    <row r="300" spans="13:29" ht="15.5" x14ac:dyDescent="0.35">
      <c r="M300" s="329"/>
      <c r="N300" s="158"/>
      <c r="O300" s="158"/>
      <c r="P300" s="168"/>
      <c r="Q300" s="194"/>
      <c r="R300" s="195"/>
      <c r="S300" s="195"/>
      <c r="T300" s="192"/>
      <c r="U300" s="192"/>
      <c r="V300" s="192"/>
      <c r="W300" s="192"/>
      <c r="X300" s="192"/>
      <c r="Y300" s="190"/>
      <c r="Z300" s="196"/>
      <c r="AA300" s="190"/>
      <c r="AB300" s="197"/>
      <c r="AC300" s="190"/>
    </row>
    <row r="301" spans="13:29" ht="15.5" x14ac:dyDescent="0.35">
      <c r="M301" s="329"/>
      <c r="N301" s="158"/>
      <c r="O301" s="158"/>
      <c r="P301" s="168"/>
      <c r="Q301" s="194"/>
      <c r="R301" s="195"/>
      <c r="S301" s="195"/>
      <c r="T301" s="192"/>
      <c r="U301" s="192"/>
      <c r="V301" s="192"/>
      <c r="W301" s="192"/>
      <c r="X301" s="192"/>
      <c r="Y301" s="190"/>
      <c r="Z301" s="196"/>
      <c r="AA301" s="190"/>
      <c r="AB301" s="197"/>
      <c r="AC301" s="190"/>
    </row>
    <row r="302" spans="13:29" ht="15.5" x14ac:dyDescent="0.35">
      <c r="M302" s="329"/>
      <c r="N302" s="158"/>
      <c r="O302" s="158"/>
      <c r="P302" s="184"/>
      <c r="Q302" s="185"/>
      <c r="R302" s="186"/>
      <c r="S302" s="187"/>
      <c r="T302" s="173"/>
      <c r="U302" s="192"/>
      <c r="V302" s="192"/>
      <c r="W302" s="189"/>
      <c r="X302" s="189"/>
      <c r="Y302" s="190"/>
      <c r="Z302" s="193"/>
      <c r="AA302" s="190"/>
      <c r="AB302" s="190"/>
      <c r="AC302" s="190"/>
    </row>
    <row r="303" spans="13:29" ht="15.5" x14ac:dyDescent="0.35">
      <c r="M303" s="329"/>
      <c r="N303" s="158"/>
      <c r="O303" s="158"/>
      <c r="P303" s="168"/>
      <c r="Q303" s="194"/>
      <c r="R303" s="195"/>
      <c r="S303" s="195"/>
      <c r="T303" s="192"/>
      <c r="U303" s="192"/>
      <c r="V303" s="192"/>
      <c r="W303" s="192"/>
      <c r="X303" s="192"/>
      <c r="Y303" s="190"/>
      <c r="Z303" s="196"/>
      <c r="AA303" s="190"/>
      <c r="AB303" s="197"/>
      <c r="AC303" s="190"/>
    </row>
    <row r="304" spans="13:29" ht="15.5" x14ac:dyDescent="0.35">
      <c r="M304" s="329"/>
      <c r="N304" s="158"/>
      <c r="O304" s="158"/>
      <c r="P304" s="168"/>
      <c r="Q304" s="194"/>
      <c r="R304" s="195"/>
      <c r="S304" s="195"/>
      <c r="T304" s="192"/>
      <c r="U304" s="192"/>
      <c r="V304" s="192"/>
      <c r="W304" s="192"/>
      <c r="X304" s="192"/>
      <c r="Y304" s="190"/>
      <c r="Z304" s="196"/>
      <c r="AA304" s="190"/>
      <c r="AB304" s="197"/>
      <c r="AC304" s="190"/>
    </row>
    <row r="305" spans="13:29" ht="15.5" x14ac:dyDescent="0.35">
      <c r="M305" s="329"/>
      <c r="N305" s="158"/>
      <c r="O305" s="158"/>
      <c r="P305" s="184"/>
      <c r="Q305" s="185"/>
      <c r="R305" s="186"/>
      <c r="S305" s="187"/>
      <c r="T305" s="173"/>
      <c r="U305" s="192"/>
      <c r="V305" s="192"/>
      <c r="W305" s="189"/>
      <c r="X305" s="189"/>
      <c r="Y305" s="190"/>
      <c r="Z305" s="193"/>
      <c r="AA305" s="190"/>
      <c r="AB305" s="190"/>
      <c r="AC305" s="190"/>
    </row>
    <row r="306" spans="13:29" ht="15.5" x14ac:dyDescent="0.35">
      <c r="M306" s="329"/>
      <c r="N306" s="158"/>
      <c r="O306" s="158"/>
      <c r="P306" s="168"/>
      <c r="Q306" s="194"/>
      <c r="R306" s="195"/>
      <c r="S306" s="195"/>
      <c r="T306" s="192"/>
      <c r="U306" s="192"/>
      <c r="V306" s="192"/>
      <c r="W306" s="192"/>
      <c r="X306" s="192"/>
      <c r="Y306" s="190"/>
      <c r="Z306" s="196"/>
      <c r="AA306" s="190"/>
      <c r="AB306" s="197"/>
      <c r="AC306" s="190"/>
    </row>
    <row r="307" spans="13:29" ht="15.5" x14ac:dyDescent="0.35">
      <c r="M307" s="329"/>
      <c r="N307" s="158"/>
      <c r="O307" s="158"/>
      <c r="P307" s="213"/>
      <c r="Q307" s="214"/>
      <c r="R307" s="195"/>
      <c r="S307" s="202"/>
      <c r="T307" s="215"/>
      <c r="U307" s="203"/>
      <c r="V307" s="203"/>
      <c r="W307" s="192"/>
      <c r="X307" s="192"/>
      <c r="Y307" s="190"/>
      <c r="Z307" s="193"/>
      <c r="AA307" s="190"/>
      <c r="AB307" s="190"/>
      <c r="AC307" s="190"/>
    </row>
    <row r="308" spans="13:29" ht="15.5" x14ac:dyDescent="0.35">
      <c r="M308" s="329"/>
      <c r="N308" s="158"/>
      <c r="O308" s="158"/>
      <c r="P308" s="168"/>
      <c r="Q308" s="194"/>
      <c r="R308" s="195"/>
      <c r="S308" s="195"/>
      <c r="T308" s="192"/>
      <c r="U308" s="192"/>
      <c r="V308" s="192"/>
      <c r="W308" s="192"/>
      <c r="X308" s="192"/>
      <c r="Y308" s="190"/>
      <c r="Z308" s="196"/>
      <c r="AA308" s="190"/>
      <c r="AB308" s="197"/>
      <c r="AC308" s="190"/>
    </row>
    <row r="309" spans="13:29" ht="15.5" x14ac:dyDescent="0.35">
      <c r="M309" s="329"/>
      <c r="N309" s="158"/>
      <c r="O309" s="158"/>
      <c r="P309" s="168"/>
      <c r="Q309" s="194"/>
      <c r="R309" s="195"/>
      <c r="S309" s="195"/>
      <c r="T309" s="192"/>
      <c r="U309" s="192"/>
      <c r="V309" s="192"/>
      <c r="W309" s="192"/>
      <c r="X309" s="192"/>
      <c r="Y309" s="190"/>
      <c r="Z309" s="196"/>
      <c r="AA309" s="190"/>
      <c r="AB309" s="197"/>
      <c r="AC309" s="190"/>
    </row>
    <row r="310" spans="13:29" ht="15.5" x14ac:dyDescent="0.35">
      <c r="M310" s="329"/>
      <c r="N310" s="158"/>
      <c r="O310" s="158"/>
      <c r="P310" s="213"/>
      <c r="Q310" s="214"/>
      <c r="R310" s="186"/>
      <c r="S310" s="202"/>
      <c r="T310" s="215"/>
      <c r="U310" s="203"/>
      <c r="V310" s="203"/>
      <c r="W310" s="192"/>
      <c r="X310" s="192"/>
      <c r="Y310" s="190"/>
      <c r="Z310" s="193"/>
      <c r="AA310" s="190"/>
      <c r="AB310" s="190"/>
      <c r="AC310" s="190"/>
    </row>
    <row r="311" spans="13:29" ht="15.5" x14ac:dyDescent="0.35">
      <c r="M311" s="329"/>
      <c r="N311" s="198"/>
      <c r="O311" s="158"/>
      <c r="P311" s="184"/>
      <c r="Q311" s="185"/>
      <c r="R311" s="186"/>
      <c r="S311" s="187"/>
      <c r="T311" s="173"/>
      <c r="U311" s="192"/>
      <c r="V311" s="192"/>
      <c r="W311" s="189"/>
      <c r="X311" s="192"/>
      <c r="Y311" s="190"/>
      <c r="Z311" s="193"/>
      <c r="AA311" s="190"/>
      <c r="AB311" s="190"/>
      <c r="AC311" s="190"/>
    </row>
    <row r="312" spans="13:29" ht="15.5" x14ac:dyDescent="0.35">
      <c r="M312" s="329"/>
      <c r="N312" s="158"/>
      <c r="O312" s="158"/>
      <c r="P312" s="168"/>
      <c r="Q312" s="194"/>
      <c r="R312" s="195"/>
      <c r="S312" s="195"/>
      <c r="T312" s="192"/>
      <c r="U312" s="192"/>
      <c r="V312" s="192"/>
      <c r="W312" s="192"/>
      <c r="X312" s="192"/>
      <c r="Y312" s="190"/>
      <c r="Z312" s="196"/>
      <c r="AA312" s="190"/>
      <c r="AB312" s="197"/>
      <c r="AC312" s="190"/>
    </row>
    <row r="313" spans="13:29" ht="15.5" x14ac:dyDescent="0.35">
      <c r="M313" s="329"/>
      <c r="N313" s="158"/>
      <c r="O313" s="158"/>
      <c r="P313" s="168"/>
      <c r="Q313" s="194"/>
      <c r="R313" s="195"/>
      <c r="S313" s="195"/>
      <c r="T313" s="192"/>
      <c r="U313" s="192"/>
      <c r="V313" s="192"/>
      <c r="W313" s="192"/>
      <c r="X313" s="192"/>
      <c r="Y313" s="190"/>
      <c r="Z313" s="196"/>
      <c r="AA313" s="190"/>
      <c r="AB313" s="197"/>
      <c r="AC313" s="190"/>
    </row>
    <row r="314" spans="13:29" ht="15.5" x14ac:dyDescent="0.35">
      <c r="M314" s="329"/>
      <c r="N314" s="158"/>
      <c r="O314" s="158"/>
      <c r="P314" s="213"/>
      <c r="Q314" s="214"/>
      <c r="R314" s="195"/>
      <c r="S314" s="202"/>
      <c r="T314" s="215"/>
      <c r="U314" s="203"/>
      <c r="V314" s="203"/>
      <c r="W314" s="192"/>
      <c r="X314" s="192"/>
      <c r="Y314" s="190"/>
      <c r="Z314" s="193"/>
      <c r="AA314" s="190"/>
      <c r="AB314" s="190"/>
      <c r="AC314" s="190"/>
    </row>
    <row r="315" spans="13:29" ht="15.5" x14ac:dyDescent="0.35">
      <c r="M315" s="329"/>
      <c r="N315" s="158"/>
      <c r="O315" s="158"/>
      <c r="P315" s="168"/>
      <c r="Q315" s="194"/>
      <c r="R315" s="195"/>
      <c r="S315" s="195"/>
      <c r="T315" s="192"/>
      <c r="U315" s="192"/>
      <c r="V315" s="192"/>
      <c r="W315" s="192"/>
      <c r="X315" s="192"/>
      <c r="Y315" s="190"/>
      <c r="Z315" s="196"/>
      <c r="AA315" s="190"/>
      <c r="AB315" s="197"/>
      <c r="AC315" s="190"/>
    </row>
    <row r="316" spans="13:29" ht="15.5" x14ac:dyDescent="0.35">
      <c r="M316" s="329"/>
      <c r="N316" s="158"/>
      <c r="O316" s="158"/>
      <c r="P316" s="168"/>
      <c r="Q316" s="194"/>
      <c r="R316" s="195"/>
      <c r="S316" s="195"/>
      <c r="T316" s="192"/>
      <c r="U316" s="192"/>
      <c r="V316" s="192"/>
      <c r="W316" s="192"/>
      <c r="X316" s="192"/>
      <c r="Y316" s="190"/>
      <c r="Z316" s="196"/>
      <c r="AA316" s="190"/>
      <c r="AB316" s="197"/>
      <c r="AC316" s="190"/>
    </row>
    <row r="317" spans="13:29" ht="15.5" x14ac:dyDescent="0.35">
      <c r="M317" s="329"/>
      <c r="N317" s="158"/>
      <c r="O317" s="158"/>
      <c r="P317" s="168"/>
      <c r="Q317" s="194"/>
      <c r="R317" s="195"/>
      <c r="S317" s="195"/>
      <c r="T317" s="192"/>
      <c r="U317" s="192"/>
      <c r="V317" s="192"/>
      <c r="W317" s="192"/>
      <c r="X317" s="192"/>
      <c r="Y317" s="190"/>
      <c r="Z317" s="196"/>
      <c r="AA317" s="190"/>
      <c r="AB317" s="197"/>
      <c r="AC317" s="190"/>
    </row>
    <row r="318" spans="13:29" ht="15.5" x14ac:dyDescent="0.35">
      <c r="M318" s="329"/>
      <c r="N318" s="158"/>
      <c r="O318" s="158"/>
      <c r="P318" s="168"/>
      <c r="Q318" s="194"/>
      <c r="R318" s="195"/>
      <c r="S318" s="195"/>
      <c r="T318" s="192"/>
      <c r="U318" s="192"/>
      <c r="V318" s="192"/>
      <c r="W318" s="192"/>
      <c r="X318" s="192"/>
      <c r="Y318" s="190"/>
      <c r="Z318" s="196"/>
      <c r="AA318" s="190"/>
      <c r="AB318" s="197"/>
      <c r="AC318" s="190"/>
    </row>
    <row r="319" spans="13:29" ht="15.5" x14ac:dyDescent="0.35">
      <c r="M319" s="329"/>
      <c r="N319" s="158"/>
      <c r="O319" s="158"/>
      <c r="P319" s="184"/>
      <c r="Q319" s="185"/>
      <c r="R319" s="186"/>
      <c r="S319" s="187"/>
      <c r="T319" s="173"/>
      <c r="U319" s="192"/>
      <c r="V319" s="192"/>
      <c r="W319" s="189"/>
      <c r="X319" s="189"/>
      <c r="Y319" s="190"/>
      <c r="Z319" s="193"/>
      <c r="AA319" s="190"/>
      <c r="AB319" s="190"/>
      <c r="AC319" s="190"/>
    </row>
    <row r="320" spans="13:29" ht="15.5" x14ac:dyDescent="0.35">
      <c r="M320" s="329"/>
      <c r="N320" s="158"/>
      <c r="O320" s="158"/>
      <c r="P320" s="168"/>
      <c r="Q320" s="194"/>
      <c r="R320" s="195"/>
      <c r="S320" s="195"/>
      <c r="T320" s="192"/>
      <c r="U320" s="192"/>
      <c r="V320" s="192"/>
      <c r="W320" s="192"/>
      <c r="X320" s="192"/>
      <c r="Y320" s="190"/>
      <c r="Z320" s="196"/>
      <c r="AA320" s="190"/>
      <c r="AB320" s="197"/>
      <c r="AC320" s="190"/>
    </row>
    <row r="321" spans="13:29" ht="15.5" x14ac:dyDescent="0.35">
      <c r="M321" s="329"/>
      <c r="N321" s="158"/>
      <c r="O321" s="158"/>
      <c r="P321" s="168"/>
      <c r="Q321" s="194"/>
      <c r="R321" s="195"/>
      <c r="S321" s="195"/>
      <c r="T321" s="192"/>
      <c r="U321" s="192"/>
      <c r="V321" s="192"/>
      <c r="W321" s="192"/>
      <c r="X321" s="192"/>
      <c r="Y321" s="190"/>
      <c r="Z321" s="196"/>
      <c r="AA321" s="190"/>
      <c r="AB321" s="197"/>
      <c r="AC321" s="190"/>
    </row>
    <row r="322" spans="13:29" ht="15.5" x14ac:dyDescent="0.35">
      <c r="M322" s="329"/>
      <c r="N322" s="158"/>
      <c r="O322" s="158"/>
      <c r="P322" s="168"/>
      <c r="Q322" s="194"/>
      <c r="R322" s="195"/>
      <c r="S322" s="195"/>
      <c r="T322" s="192"/>
      <c r="U322" s="192"/>
      <c r="V322" s="192"/>
      <c r="W322" s="192"/>
      <c r="X322" s="192"/>
      <c r="Y322" s="190"/>
      <c r="Z322" s="196"/>
      <c r="AA322" s="190"/>
      <c r="AB322" s="197"/>
      <c r="AC322" s="190"/>
    </row>
    <row r="323" spans="13:29" ht="15.5" x14ac:dyDescent="0.35">
      <c r="M323" s="329"/>
      <c r="N323" s="158"/>
      <c r="O323" s="158"/>
      <c r="P323" s="184"/>
      <c r="Q323" s="185"/>
      <c r="R323" s="186"/>
      <c r="S323" s="187"/>
      <c r="T323" s="173"/>
      <c r="U323" s="192"/>
      <c r="V323" s="192"/>
      <c r="W323" s="189"/>
      <c r="X323" s="189"/>
      <c r="Y323" s="190"/>
      <c r="Z323" s="193"/>
      <c r="AA323" s="190"/>
      <c r="AB323" s="190"/>
      <c r="AC323" s="190"/>
    </row>
    <row r="324" spans="13:29" ht="15.5" x14ac:dyDescent="0.35">
      <c r="M324" s="329"/>
      <c r="N324" s="158"/>
      <c r="O324" s="158"/>
      <c r="P324" s="184"/>
      <c r="Q324" s="185"/>
      <c r="R324" s="186"/>
      <c r="S324" s="187"/>
      <c r="T324" s="173"/>
      <c r="U324" s="192"/>
      <c r="V324" s="192"/>
      <c r="W324" s="189"/>
      <c r="X324" s="189"/>
      <c r="Y324" s="190"/>
      <c r="Z324" s="193"/>
      <c r="AA324" s="190"/>
      <c r="AB324" s="190"/>
      <c r="AC324" s="190"/>
    </row>
    <row r="325" spans="13:29" ht="15.5" x14ac:dyDescent="0.35">
      <c r="M325" s="329"/>
      <c r="N325" s="158"/>
      <c r="O325" s="158"/>
      <c r="P325" s="168"/>
      <c r="Q325" s="194"/>
      <c r="R325" s="195"/>
      <c r="S325" s="195"/>
      <c r="T325" s="192"/>
      <c r="U325" s="192"/>
      <c r="V325" s="192"/>
      <c r="W325" s="192"/>
      <c r="X325" s="192"/>
      <c r="Y325" s="190"/>
      <c r="Z325" s="196"/>
      <c r="AA325" s="190"/>
      <c r="AB325" s="197"/>
      <c r="AC325" s="190"/>
    </row>
    <row r="326" spans="13:29" ht="15.5" x14ac:dyDescent="0.35">
      <c r="M326" s="329"/>
      <c r="N326" s="158"/>
      <c r="O326" s="158"/>
      <c r="P326" s="168"/>
      <c r="Q326" s="194"/>
      <c r="R326" s="195"/>
      <c r="S326" s="195"/>
      <c r="T326" s="192"/>
      <c r="U326" s="192"/>
      <c r="V326" s="192"/>
      <c r="W326" s="192"/>
      <c r="X326" s="192"/>
      <c r="Y326" s="190"/>
      <c r="Z326" s="196"/>
      <c r="AA326" s="190"/>
      <c r="AB326" s="197"/>
      <c r="AC326" s="190"/>
    </row>
    <row r="327" spans="13:29" ht="15.5" x14ac:dyDescent="0.35">
      <c r="M327" s="329"/>
      <c r="N327" s="158"/>
      <c r="O327" s="158"/>
      <c r="P327" s="184"/>
      <c r="Q327" s="185"/>
      <c r="R327" s="186"/>
      <c r="S327" s="187"/>
      <c r="T327" s="173"/>
      <c r="U327" s="192"/>
      <c r="V327" s="192"/>
      <c r="W327" s="189"/>
      <c r="X327" s="189"/>
      <c r="Y327" s="190"/>
      <c r="Z327" s="193"/>
      <c r="AA327" s="190"/>
      <c r="AB327" s="190"/>
      <c r="AC327" s="190"/>
    </row>
    <row r="328" spans="13:29" ht="15.5" x14ac:dyDescent="0.35">
      <c r="M328" s="329"/>
      <c r="N328" s="158"/>
      <c r="O328" s="158"/>
      <c r="P328" s="184"/>
      <c r="Q328" s="185"/>
      <c r="R328" s="186"/>
      <c r="S328" s="187"/>
      <c r="T328" s="188"/>
      <c r="U328" s="188"/>
      <c r="V328" s="188"/>
      <c r="W328" s="189"/>
      <c r="X328" s="189"/>
      <c r="Y328" s="190"/>
      <c r="Z328" s="191"/>
      <c r="AA328" s="190"/>
      <c r="AB328" s="204"/>
      <c r="AC328" s="190"/>
    </row>
    <row r="329" spans="13:29" ht="15.5" x14ac:dyDescent="0.35">
      <c r="M329" s="329"/>
      <c r="N329" s="158"/>
      <c r="O329" s="158"/>
      <c r="P329" s="168"/>
      <c r="Q329" s="194"/>
      <c r="R329" s="195"/>
      <c r="S329" s="195"/>
      <c r="T329" s="192"/>
      <c r="U329" s="192"/>
      <c r="V329" s="192"/>
      <c r="W329" s="192"/>
      <c r="X329" s="192"/>
      <c r="Y329" s="190"/>
      <c r="Z329" s="196"/>
      <c r="AA329" s="190"/>
      <c r="AB329" s="197"/>
      <c r="AC329" s="190"/>
    </row>
    <row r="330" spans="13:29" ht="15.5" x14ac:dyDescent="0.35">
      <c r="M330" s="329"/>
      <c r="N330" s="158"/>
      <c r="O330" s="158"/>
      <c r="P330" s="168"/>
      <c r="Q330" s="194"/>
      <c r="R330" s="195"/>
      <c r="S330" s="195"/>
      <c r="T330" s="192"/>
      <c r="U330" s="192"/>
      <c r="V330" s="192"/>
      <c r="W330" s="192"/>
      <c r="X330" s="192"/>
      <c r="Y330" s="190"/>
      <c r="Z330" s="196"/>
      <c r="AA330" s="190"/>
      <c r="AB330" s="197"/>
      <c r="AC330" s="190"/>
    </row>
    <row r="331" spans="13:29" ht="15.5" x14ac:dyDescent="0.35">
      <c r="M331" s="329"/>
      <c r="N331" s="158"/>
      <c r="O331" s="158"/>
      <c r="P331" s="168"/>
      <c r="Q331" s="194"/>
      <c r="R331" s="195"/>
      <c r="S331" s="195"/>
      <c r="T331" s="192"/>
      <c r="U331" s="192"/>
      <c r="V331" s="192"/>
      <c r="W331" s="192"/>
      <c r="X331" s="192"/>
      <c r="Y331" s="190"/>
      <c r="Z331" s="196"/>
      <c r="AA331" s="190"/>
      <c r="AB331" s="197"/>
      <c r="AC331" s="190"/>
    </row>
    <row r="332" spans="13:29" ht="15.5" x14ac:dyDescent="0.35">
      <c r="M332" s="329"/>
      <c r="N332" s="158"/>
      <c r="O332" s="158"/>
      <c r="P332" s="184"/>
      <c r="Q332" s="185"/>
      <c r="R332" s="186"/>
      <c r="S332" s="187"/>
      <c r="T332" s="188"/>
      <c r="U332" s="188"/>
      <c r="V332" s="188"/>
      <c r="W332" s="189"/>
      <c r="X332" s="189"/>
      <c r="Y332" s="190"/>
      <c r="Z332" s="191"/>
      <c r="AA332" s="190"/>
      <c r="AB332" s="204"/>
      <c r="AC332" s="190"/>
    </row>
    <row r="333" spans="13:29" ht="15.5" x14ac:dyDescent="0.35">
      <c r="M333" s="329"/>
      <c r="N333" s="158"/>
      <c r="O333" s="158"/>
      <c r="P333" s="168"/>
      <c r="Q333" s="194"/>
      <c r="R333" s="195"/>
      <c r="S333" s="195"/>
      <c r="T333" s="192"/>
      <c r="U333" s="192"/>
      <c r="V333" s="192"/>
      <c r="W333" s="192"/>
      <c r="X333" s="192"/>
      <c r="Y333" s="190"/>
      <c r="Z333" s="196"/>
      <c r="AA333" s="190"/>
      <c r="AB333" s="197"/>
      <c r="AC333" s="190"/>
    </row>
    <row r="334" spans="13:29" ht="15.5" x14ac:dyDescent="0.35">
      <c r="M334" s="329"/>
      <c r="N334" s="158"/>
      <c r="O334" s="158"/>
      <c r="P334" s="184"/>
      <c r="Q334" s="185"/>
      <c r="R334" s="186"/>
      <c r="S334" s="187"/>
      <c r="T334" s="188"/>
      <c r="U334" s="188"/>
      <c r="V334" s="188"/>
      <c r="W334" s="189"/>
      <c r="X334" s="189"/>
      <c r="Y334" s="190"/>
      <c r="Z334" s="191"/>
      <c r="AA334" s="190"/>
      <c r="AB334" s="204"/>
      <c r="AC334" s="190"/>
    </row>
    <row r="335" spans="13:29" ht="15.5" x14ac:dyDescent="0.35">
      <c r="M335" s="329"/>
      <c r="N335" s="158"/>
      <c r="O335" s="158"/>
      <c r="P335" s="184"/>
      <c r="Q335" s="185"/>
      <c r="R335" s="186"/>
      <c r="S335" s="187"/>
      <c r="T335" s="173"/>
      <c r="U335" s="192"/>
      <c r="V335" s="192"/>
      <c r="W335" s="189"/>
      <c r="X335" s="189"/>
      <c r="Y335" s="190"/>
      <c r="Z335" s="193"/>
      <c r="AA335" s="190"/>
      <c r="AB335" s="190"/>
      <c r="AC335" s="190"/>
    </row>
    <row r="336" spans="13:29" ht="15.5" x14ac:dyDescent="0.35">
      <c r="M336" s="329"/>
      <c r="N336" s="158"/>
      <c r="O336" s="158"/>
      <c r="P336" s="168"/>
      <c r="Q336" s="194"/>
      <c r="R336" s="195"/>
      <c r="S336" s="195"/>
      <c r="T336" s="192"/>
      <c r="U336" s="192"/>
      <c r="V336" s="192"/>
      <c r="W336" s="192"/>
      <c r="X336" s="192"/>
      <c r="Y336" s="190"/>
      <c r="Z336" s="196"/>
      <c r="AA336" s="190"/>
      <c r="AB336" s="197"/>
      <c r="AC336" s="190"/>
    </row>
    <row r="337" spans="13:29" ht="15.5" x14ac:dyDescent="0.35">
      <c r="M337" s="329"/>
      <c r="N337" s="158"/>
      <c r="O337" s="158"/>
      <c r="P337" s="168"/>
      <c r="Q337" s="194"/>
      <c r="R337" s="195"/>
      <c r="S337" s="195"/>
      <c r="T337" s="192"/>
      <c r="U337" s="192"/>
      <c r="V337" s="192"/>
      <c r="W337" s="192"/>
      <c r="X337" s="192"/>
      <c r="Y337" s="190"/>
      <c r="Z337" s="196"/>
      <c r="AA337" s="190"/>
      <c r="AB337" s="197"/>
      <c r="AC337" s="190"/>
    </row>
    <row r="338" spans="13:29" ht="15.5" x14ac:dyDescent="0.35">
      <c r="M338" s="329"/>
      <c r="N338" s="158"/>
      <c r="O338" s="158"/>
      <c r="P338" s="168"/>
      <c r="Q338" s="194"/>
      <c r="R338" s="195"/>
      <c r="S338" s="195"/>
      <c r="T338" s="192"/>
      <c r="U338" s="192"/>
      <c r="V338" s="192"/>
      <c r="W338" s="192"/>
      <c r="X338" s="192"/>
      <c r="Y338" s="190"/>
      <c r="Z338" s="196"/>
      <c r="AA338" s="190"/>
      <c r="AB338" s="197"/>
      <c r="AC338" s="190"/>
    </row>
    <row r="339" spans="13:29" ht="15.5" x14ac:dyDescent="0.35">
      <c r="M339" s="329"/>
      <c r="N339" s="158"/>
      <c r="O339" s="158"/>
      <c r="P339" s="168"/>
      <c r="Q339" s="194"/>
      <c r="R339" s="195"/>
      <c r="S339" s="195"/>
      <c r="T339" s="192"/>
      <c r="U339" s="192"/>
      <c r="V339" s="192"/>
      <c r="W339" s="192"/>
      <c r="X339" s="192"/>
      <c r="Y339" s="190"/>
      <c r="Z339" s="196"/>
      <c r="AA339" s="190"/>
      <c r="AB339" s="197"/>
      <c r="AC339" s="190"/>
    </row>
    <row r="340" spans="13:29" ht="15.5" x14ac:dyDescent="0.35">
      <c r="M340" s="329"/>
      <c r="N340" s="158"/>
      <c r="O340" s="158"/>
      <c r="P340" s="184"/>
      <c r="Q340" s="185"/>
      <c r="R340" s="186"/>
      <c r="S340" s="187"/>
      <c r="T340" s="173"/>
      <c r="U340" s="192"/>
      <c r="V340" s="192"/>
      <c r="W340" s="189"/>
      <c r="X340" s="189"/>
      <c r="Y340" s="190"/>
      <c r="Z340" s="193"/>
      <c r="AA340" s="190"/>
      <c r="AB340" s="190"/>
      <c r="AC340" s="190"/>
    </row>
    <row r="341" spans="13:29" ht="15.5" x14ac:dyDescent="0.35">
      <c r="M341" s="329"/>
      <c r="N341" s="158"/>
      <c r="O341" s="158"/>
      <c r="P341" s="168"/>
      <c r="Q341" s="194"/>
      <c r="R341" s="195"/>
      <c r="S341" s="195"/>
      <c r="T341" s="192"/>
      <c r="U341" s="192"/>
      <c r="V341" s="192"/>
      <c r="W341" s="192"/>
      <c r="X341" s="192"/>
      <c r="Y341" s="190"/>
      <c r="Z341" s="196"/>
      <c r="AA341" s="190"/>
      <c r="AB341" s="197"/>
      <c r="AC341" s="190"/>
    </row>
    <row r="342" spans="13:29" ht="15.5" x14ac:dyDescent="0.35">
      <c r="M342" s="329"/>
      <c r="N342" s="158"/>
      <c r="O342" s="158"/>
      <c r="P342" s="168"/>
      <c r="Q342" s="194"/>
      <c r="R342" s="195"/>
      <c r="S342" s="195"/>
      <c r="T342" s="192"/>
      <c r="U342" s="192"/>
      <c r="V342" s="192"/>
      <c r="W342" s="192"/>
      <c r="X342" s="192"/>
      <c r="Y342" s="190"/>
      <c r="Z342" s="196"/>
      <c r="AA342" s="190"/>
      <c r="AB342" s="197"/>
      <c r="AC342" s="190"/>
    </row>
    <row r="343" spans="13:29" ht="15.5" x14ac:dyDescent="0.35">
      <c r="M343" s="329"/>
      <c r="N343" s="158"/>
      <c r="O343" s="158"/>
      <c r="P343" s="184"/>
      <c r="Q343" s="185"/>
      <c r="R343" s="186"/>
      <c r="S343" s="187"/>
      <c r="T343" s="173"/>
      <c r="U343" s="192"/>
      <c r="V343" s="192"/>
      <c r="W343" s="189"/>
      <c r="X343" s="189"/>
      <c r="Y343" s="190"/>
      <c r="Z343" s="193"/>
      <c r="AA343" s="190"/>
      <c r="AB343" s="190"/>
      <c r="AC343" s="190"/>
    </row>
    <row r="344" spans="13:29" ht="15.5" x14ac:dyDescent="0.35">
      <c r="M344" s="329"/>
      <c r="N344" s="158"/>
      <c r="O344" s="158"/>
      <c r="P344" s="168"/>
      <c r="Q344" s="194"/>
      <c r="R344" s="195"/>
      <c r="S344" s="195"/>
      <c r="T344" s="192"/>
      <c r="U344" s="192"/>
      <c r="V344" s="192"/>
      <c r="W344" s="192"/>
      <c r="X344" s="192"/>
      <c r="Y344" s="190"/>
      <c r="Z344" s="196"/>
      <c r="AA344" s="190"/>
      <c r="AB344" s="197"/>
      <c r="AC344" s="190"/>
    </row>
    <row r="345" spans="13:29" ht="15.5" x14ac:dyDescent="0.35">
      <c r="M345" s="329"/>
      <c r="N345" s="158"/>
      <c r="O345" s="158"/>
      <c r="P345" s="168"/>
      <c r="Q345" s="194"/>
      <c r="R345" s="195"/>
      <c r="S345" s="195"/>
      <c r="T345" s="192"/>
      <c r="U345" s="192"/>
      <c r="V345" s="192"/>
      <c r="W345" s="192"/>
      <c r="X345" s="192"/>
      <c r="Y345" s="190"/>
      <c r="Z345" s="196"/>
      <c r="AA345" s="190"/>
      <c r="AB345" s="197"/>
      <c r="AC345" s="190"/>
    </row>
    <row r="346" spans="13:29" ht="15.5" x14ac:dyDescent="0.35">
      <c r="M346" s="329"/>
      <c r="N346" s="158"/>
      <c r="O346" s="158"/>
      <c r="P346" s="168"/>
      <c r="Q346" s="194"/>
      <c r="R346" s="195"/>
      <c r="S346" s="195"/>
      <c r="T346" s="192"/>
      <c r="U346" s="192"/>
      <c r="V346" s="192"/>
      <c r="W346" s="192"/>
      <c r="X346" s="192"/>
      <c r="Y346" s="190"/>
      <c r="Z346" s="196"/>
      <c r="AA346" s="190"/>
      <c r="AB346" s="197"/>
      <c r="AC346" s="190"/>
    </row>
    <row r="347" spans="13:29" ht="15.5" x14ac:dyDescent="0.35">
      <c r="M347" s="329"/>
      <c r="N347" s="158"/>
      <c r="O347" s="158"/>
      <c r="P347" s="168"/>
      <c r="Q347" s="194"/>
      <c r="R347" s="195"/>
      <c r="S347" s="195"/>
      <c r="T347" s="192"/>
      <c r="U347" s="192"/>
      <c r="V347" s="192"/>
      <c r="W347" s="192"/>
      <c r="X347" s="192"/>
      <c r="Y347" s="190"/>
      <c r="Z347" s="196"/>
      <c r="AA347" s="190"/>
      <c r="AB347" s="197"/>
      <c r="AC347" s="190"/>
    </row>
    <row r="348" spans="13:29" ht="15.5" x14ac:dyDescent="0.35">
      <c r="M348" s="329"/>
      <c r="N348" s="158"/>
      <c r="O348" s="158"/>
      <c r="P348" s="184"/>
      <c r="Q348" s="185"/>
      <c r="R348" s="186"/>
      <c r="S348" s="187"/>
      <c r="T348" s="330"/>
      <c r="U348" s="192"/>
      <c r="V348" s="192"/>
      <c r="W348" s="192"/>
      <c r="X348" s="192"/>
      <c r="Y348" s="190"/>
      <c r="Z348" s="193"/>
      <c r="AA348" s="190"/>
      <c r="AB348" s="190"/>
      <c r="AC348" s="190"/>
    </row>
    <row r="349" spans="13:29" ht="15.5" x14ac:dyDescent="0.35">
      <c r="M349" s="329"/>
      <c r="N349" s="158"/>
      <c r="O349" s="158"/>
      <c r="P349" s="168"/>
      <c r="Q349" s="194"/>
      <c r="R349" s="195"/>
      <c r="S349" s="195"/>
      <c r="T349" s="192"/>
      <c r="U349" s="192"/>
      <c r="V349" s="192"/>
      <c r="W349" s="192"/>
      <c r="X349" s="192"/>
      <c r="Y349" s="190"/>
      <c r="Z349" s="196"/>
      <c r="AA349" s="190"/>
      <c r="AB349" s="197"/>
      <c r="AC349" s="190"/>
    </row>
    <row r="350" spans="13:29" ht="15.5" x14ac:dyDescent="0.35">
      <c r="M350" s="329"/>
      <c r="N350" s="158"/>
      <c r="O350" s="199"/>
      <c r="P350" s="200"/>
      <c r="Q350" s="201"/>
      <c r="R350" s="195"/>
      <c r="S350" s="202"/>
      <c r="T350" s="203"/>
      <c r="U350" s="203"/>
      <c r="V350" s="203"/>
      <c r="W350" s="192"/>
      <c r="X350" s="192"/>
      <c r="Y350" s="190"/>
      <c r="Z350" s="193"/>
      <c r="AA350" s="190"/>
      <c r="AB350" s="190"/>
      <c r="AC350" s="190"/>
    </row>
    <row r="351" spans="13:29" ht="15.5" x14ac:dyDescent="0.35">
      <c r="M351" s="329"/>
      <c r="N351" s="158"/>
      <c r="O351" s="158"/>
      <c r="P351" s="168"/>
      <c r="Q351" s="194"/>
      <c r="R351" s="195"/>
      <c r="S351" s="195"/>
      <c r="T351" s="192"/>
      <c r="U351" s="192"/>
      <c r="V351" s="192"/>
      <c r="W351" s="192"/>
      <c r="X351" s="192"/>
      <c r="Y351" s="190"/>
      <c r="Z351" s="196"/>
      <c r="AA351" s="190"/>
      <c r="AB351" s="197"/>
      <c r="AC351" s="190"/>
    </row>
    <row r="352" spans="13:29" ht="15.5" x14ac:dyDescent="0.35">
      <c r="M352" s="329"/>
      <c r="N352" s="158"/>
      <c r="O352" s="158"/>
      <c r="P352" s="168"/>
      <c r="Q352" s="194"/>
      <c r="R352" s="195"/>
      <c r="S352" s="195"/>
      <c r="T352" s="192"/>
      <c r="U352" s="192"/>
      <c r="V352" s="192"/>
      <c r="W352" s="192"/>
      <c r="X352" s="192"/>
      <c r="Y352" s="190"/>
      <c r="Z352" s="196"/>
      <c r="AA352" s="190"/>
      <c r="AB352" s="197"/>
      <c r="AC352" s="190"/>
    </row>
    <row r="353" spans="13:29" ht="15.5" x14ac:dyDescent="0.35">
      <c r="M353" s="329"/>
      <c r="N353" s="158"/>
      <c r="O353" s="158"/>
      <c r="P353" s="168"/>
      <c r="Q353" s="194"/>
      <c r="R353" s="195"/>
      <c r="S353" s="195"/>
      <c r="T353" s="192"/>
      <c r="U353" s="192"/>
      <c r="V353" s="192"/>
      <c r="W353" s="192"/>
      <c r="X353" s="192"/>
      <c r="Y353" s="190"/>
      <c r="Z353" s="196"/>
      <c r="AA353" s="190"/>
      <c r="AB353" s="197"/>
      <c r="AC353" s="190"/>
    </row>
    <row r="354" spans="13:29" ht="15.5" x14ac:dyDescent="0.35">
      <c r="M354" s="329"/>
      <c r="N354" s="158"/>
      <c r="O354" s="158"/>
      <c r="P354" s="168"/>
      <c r="Q354" s="194"/>
      <c r="R354" s="195"/>
      <c r="S354" s="195"/>
      <c r="T354" s="192"/>
      <c r="U354" s="192"/>
      <c r="V354" s="192"/>
      <c r="W354" s="192"/>
      <c r="X354" s="189"/>
      <c r="Y354" s="190"/>
      <c r="Z354" s="196"/>
      <c r="AA354" s="190"/>
      <c r="AB354" s="197"/>
      <c r="AC354" s="190"/>
    </row>
    <row r="355" spans="13:29" ht="15.5" x14ac:dyDescent="0.35">
      <c r="M355" s="329"/>
      <c r="N355" s="158"/>
      <c r="O355" s="158"/>
      <c r="P355" s="168"/>
      <c r="Q355" s="194"/>
      <c r="R355" s="195"/>
      <c r="S355" s="195"/>
      <c r="T355" s="192"/>
      <c r="U355" s="192"/>
      <c r="V355" s="192"/>
      <c r="W355" s="192"/>
      <c r="X355" s="192"/>
      <c r="Y355" s="190"/>
      <c r="Z355" s="196"/>
      <c r="AA355" s="190"/>
      <c r="AB355" s="197"/>
      <c r="AC355" s="190"/>
    </row>
    <row r="356" spans="13:29" ht="15.5" x14ac:dyDescent="0.35">
      <c r="M356" s="329"/>
      <c r="N356" s="158"/>
      <c r="O356" s="158"/>
      <c r="P356" s="184"/>
      <c r="Q356" s="185"/>
      <c r="R356" s="186"/>
      <c r="S356" s="187"/>
      <c r="T356" s="330"/>
      <c r="U356" s="192"/>
      <c r="V356" s="192"/>
      <c r="W356" s="189"/>
      <c r="X356" s="189"/>
      <c r="Y356" s="190"/>
      <c r="Z356" s="193"/>
      <c r="AA356" s="190"/>
      <c r="AB356" s="190"/>
      <c r="AC356" s="190"/>
    </row>
    <row r="357" spans="13:29" ht="15.5" x14ac:dyDescent="0.35">
      <c r="M357" s="329"/>
      <c r="N357" s="158"/>
      <c r="O357" s="158"/>
      <c r="P357" s="168"/>
      <c r="Q357" s="194"/>
      <c r="R357" s="186"/>
      <c r="S357" s="195"/>
      <c r="T357" s="192"/>
      <c r="U357" s="192"/>
      <c r="V357" s="192"/>
      <c r="W357" s="192"/>
      <c r="X357" s="192"/>
      <c r="Y357" s="190"/>
      <c r="Z357" s="193"/>
      <c r="AA357" s="190"/>
      <c r="AB357" s="190"/>
      <c r="AC357" s="190"/>
    </row>
    <row r="358" spans="13:29" ht="15.5" x14ac:dyDescent="0.35">
      <c r="M358" s="329"/>
      <c r="N358" s="158"/>
      <c r="O358" s="158"/>
      <c r="P358" s="184"/>
      <c r="Q358" s="185"/>
      <c r="R358" s="186"/>
      <c r="S358" s="187"/>
      <c r="T358" s="173"/>
      <c r="U358" s="192"/>
      <c r="V358" s="192"/>
      <c r="W358" s="189"/>
      <c r="X358" s="189"/>
      <c r="Y358" s="190"/>
      <c r="Z358" s="193"/>
      <c r="AA358" s="190"/>
      <c r="AB358" s="190"/>
      <c r="AC358" s="190"/>
    </row>
    <row r="359" spans="13:29" ht="15.5" x14ac:dyDescent="0.35">
      <c r="M359" s="329"/>
      <c r="N359" s="158"/>
      <c r="O359" s="158"/>
      <c r="P359" s="184"/>
      <c r="Q359" s="185"/>
      <c r="R359" s="186"/>
      <c r="S359" s="187"/>
      <c r="T359" s="173"/>
      <c r="U359" s="192"/>
      <c r="V359" s="192"/>
      <c r="W359" s="189"/>
      <c r="X359" s="189"/>
      <c r="Y359" s="190"/>
      <c r="Z359" s="193"/>
      <c r="AA359" s="190"/>
      <c r="AB359" s="190"/>
      <c r="AC359" s="190"/>
    </row>
    <row r="360" spans="13:29" ht="15.5" x14ac:dyDescent="0.35">
      <c r="M360" s="329"/>
      <c r="N360" s="158"/>
      <c r="O360" s="158"/>
      <c r="P360" s="168"/>
      <c r="Q360" s="194"/>
      <c r="R360" s="195"/>
      <c r="S360" s="195"/>
      <c r="T360" s="192"/>
      <c r="U360" s="192"/>
      <c r="V360" s="192"/>
      <c r="W360" s="192"/>
      <c r="X360" s="192"/>
      <c r="Y360" s="190"/>
      <c r="Z360" s="196"/>
      <c r="AA360" s="190"/>
      <c r="AB360" s="197"/>
      <c r="AC360" s="190"/>
    </row>
    <row r="361" spans="13:29" ht="15.5" x14ac:dyDescent="0.35">
      <c r="M361" s="329"/>
      <c r="N361" s="158"/>
      <c r="O361" s="158"/>
      <c r="P361" s="184"/>
      <c r="Q361" s="185"/>
      <c r="R361" s="186"/>
      <c r="S361" s="187"/>
      <c r="T361" s="173"/>
      <c r="U361" s="192"/>
      <c r="V361" s="192"/>
      <c r="W361" s="189"/>
      <c r="X361" s="189"/>
      <c r="Y361" s="190"/>
      <c r="Z361" s="193"/>
      <c r="AA361" s="190"/>
      <c r="AB361" s="190"/>
      <c r="AC361" s="190"/>
    </row>
    <row r="362" spans="13:29" ht="15.5" x14ac:dyDescent="0.35">
      <c r="M362" s="329"/>
      <c r="N362" s="158"/>
      <c r="O362" s="158"/>
      <c r="P362" s="168"/>
      <c r="Q362" s="194"/>
      <c r="R362" s="195"/>
      <c r="S362" s="195"/>
      <c r="T362" s="342"/>
      <c r="U362" s="192"/>
      <c r="V362" s="192"/>
      <c r="W362" s="192"/>
      <c r="X362" s="192"/>
      <c r="Y362" s="190"/>
      <c r="Z362" s="196"/>
      <c r="AA362" s="190"/>
      <c r="AB362" s="197"/>
      <c r="AC362" s="190"/>
    </row>
    <row r="363" spans="13:29" ht="15.5" x14ac:dyDescent="0.35">
      <c r="M363" s="329"/>
      <c r="N363" s="158"/>
      <c r="O363" s="158"/>
      <c r="P363" s="184"/>
      <c r="Q363" s="185"/>
      <c r="R363" s="186"/>
      <c r="S363" s="187"/>
      <c r="T363" s="188"/>
      <c r="U363" s="188"/>
      <c r="V363" s="188"/>
      <c r="W363" s="189"/>
      <c r="X363" s="189"/>
      <c r="Y363" s="190"/>
      <c r="Z363" s="191"/>
      <c r="AA363" s="190"/>
      <c r="AB363" s="204"/>
      <c r="AC363" s="190"/>
    </row>
    <row r="364" spans="13:29" ht="15.5" x14ac:dyDescent="0.35">
      <c r="M364" s="329"/>
      <c r="N364" s="158"/>
      <c r="O364" s="158"/>
      <c r="P364" s="184"/>
      <c r="Q364" s="185"/>
      <c r="R364" s="186"/>
      <c r="S364" s="187"/>
      <c r="T364" s="188"/>
      <c r="U364" s="188"/>
      <c r="V364" s="188"/>
      <c r="W364" s="189"/>
      <c r="X364" s="189"/>
      <c r="Y364" s="190"/>
      <c r="Z364" s="191"/>
      <c r="AA364" s="190"/>
      <c r="AB364" s="204"/>
      <c r="AC364" s="190"/>
    </row>
    <row r="365" spans="13:29" ht="15.5" x14ac:dyDescent="0.35">
      <c r="M365" s="329"/>
      <c r="N365" s="158"/>
      <c r="O365" s="158"/>
      <c r="P365" s="184"/>
      <c r="Q365" s="185"/>
      <c r="R365" s="186"/>
      <c r="S365" s="187"/>
      <c r="T365" s="188"/>
      <c r="U365" s="188"/>
      <c r="V365" s="188"/>
      <c r="W365" s="189"/>
      <c r="X365" s="189"/>
      <c r="Y365" s="190"/>
      <c r="Z365" s="191"/>
      <c r="AA365" s="190"/>
      <c r="AB365" s="204"/>
      <c r="AC365" s="190"/>
    </row>
    <row r="366" spans="13:29" ht="15.5" x14ac:dyDescent="0.35">
      <c r="M366" s="329"/>
      <c r="N366" s="158"/>
      <c r="O366" s="158"/>
      <c r="P366" s="184"/>
      <c r="Q366" s="185"/>
      <c r="R366" s="186"/>
      <c r="S366" s="187"/>
      <c r="T366" s="188"/>
      <c r="U366" s="188"/>
      <c r="V366" s="188"/>
      <c r="W366" s="189"/>
      <c r="X366" s="189"/>
      <c r="Y366" s="190"/>
      <c r="Z366" s="191"/>
      <c r="AA366" s="190"/>
      <c r="AB366" s="204"/>
      <c r="AC366" s="190"/>
    </row>
    <row r="367" spans="13:29" ht="15.5" x14ac:dyDescent="0.35">
      <c r="M367" s="329"/>
      <c r="N367" s="158"/>
      <c r="O367" s="158"/>
      <c r="P367" s="184"/>
      <c r="Q367" s="185"/>
      <c r="R367" s="186"/>
      <c r="S367" s="187"/>
      <c r="T367" s="188"/>
      <c r="U367" s="188"/>
      <c r="V367" s="188"/>
      <c r="W367" s="189"/>
      <c r="X367" s="189"/>
      <c r="Y367" s="190"/>
      <c r="Z367" s="191"/>
      <c r="AA367" s="190"/>
      <c r="AB367" s="204"/>
      <c r="AC367" s="190"/>
    </row>
    <row r="368" spans="13:29" ht="15.5" x14ac:dyDescent="0.35">
      <c r="M368" s="329"/>
      <c r="N368" s="158"/>
      <c r="O368" s="158"/>
      <c r="P368" s="184"/>
      <c r="Q368" s="185"/>
      <c r="R368" s="186"/>
      <c r="S368" s="187"/>
      <c r="T368" s="188"/>
      <c r="U368" s="188"/>
      <c r="V368" s="188"/>
      <c r="W368" s="189"/>
      <c r="X368" s="189"/>
      <c r="Y368" s="190"/>
      <c r="Z368" s="191"/>
      <c r="AA368" s="190"/>
      <c r="AB368" s="204"/>
      <c r="AC368" s="190"/>
    </row>
    <row r="369" spans="13:29" ht="15.5" x14ac:dyDescent="0.35">
      <c r="M369" s="329"/>
      <c r="N369" s="158"/>
      <c r="O369" s="158"/>
      <c r="P369" s="184"/>
      <c r="Q369" s="185"/>
      <c r="R369" s="186"/>
      <c r="S369" s="187"/>
      <c r="T369" s="188"/>
      <c r="U369" s="188"/>
      <c r="V369" s="188"/>
      <c r="W369" s="189"/>
      <c r="X369" s="189"/>
      <c r="Y369" s="190"/>
      <c r="Z369" s="191"/>
      <c r="AA369" s="190"/>
      <c r="AB369" s="204"/>
      <c r="AC369" s="190"/>
    </row>
    <row r="370" spans="13:29" ht="15.5" x14ac:dyDescent="0.35">
      <c r="M370" s="329"/>
      <c r="N370" s="158"/>
      <c r="O370" s="158"/>
      <c r="P370" s="184"/>
      <c r="Q370" s="185"/>
      <c r="R370" s="186"/>
      <c r="S370" s="187"/>
      <c r="T370" s="188"/>
      <c r="U370" s="188"/>
      <c r="V370" s="188"/>
      <c r="W370" s="189"/>
      <c r="X370" s="189"/>
      <c r="Y370" s="190"/>
      <c r="Z370" s="191"/>
      <c r="AA370" s="190"/>
      <c r="AB370" s="204"/>
      <c r="AC370" s="190"/>
    </row>
    <row r="371" spans="13:29" ht="15.5" x14ac:dyDescent="0.35">
      <c r="M371" s="329"/>
      <c r="N371" s="158"/>
      <c r="O371" s="158"/>
      <c r="P371" s="184"/>
      <c r="Q371" s="185"/>
      <c r="R371" s="186"/>
      <c r="S371" s="187"/>
      <c r="T371" s="188"/>
      <c r="U371" s="188"/>
      <c r="V371" s="188"/>
      <c r="W371" s="189"/>
      <c r="X371" s="189"/>
      <c r="Y371" s="190"/>
      <c r="Z371" s="191"/>
      <c r="AA371" s="190"/>
      <c r="AB371" s="204"/>
      <c r="AC371" s="190"/>
    </row>
    <row r="372" spans="13:29" ht="15.5" x14ac:dyDescent="0.35">
      <c r="M372" s="329"/>
      <c r="N372" s="158"/>
      <c r="O372" s="199"/>
      <c r="P372" s="218"/>
      <c r="Q372" s="219"/>
      <c r="R372" s="186"/>
      <c r="S372" s="202"/>
      <c r="T372" s="220"/>
      <c r="U372" s="203"/>
      <c r="V372" s="203"/>
      <c r="W372" s="192"/>
      <c r="X372" s="192"/>
      <c r="Y372" s="190"/>
      <c r="Z372" s="193"/>
      <c r="AA372" s="190"/>
      <c r="AB372" s="190"/>
      <c r="AC372" s="190"/>
    </row>
    <row r="373" spans="13:29" ht="15.5" x14ac:dyDescent="0.35">
      <c r="M373" s="329"/>
      <c r="N373" s="158"/>
      <c r="O373" s="199"/>
      <c r="P373" s="200"/>
      <c r="Q373" s="201"/>
      <c r="R373" s="195"/>
      <c r="S373" s="202"/>
      <c r="T373" s="203"/>
      <c r="U373" s="203"/>
      <c r="V373" s="203"/>
      <c r="W373" s="192"/>
      <c r="X373" s="192"/>
      <c r="Y373" s="190"/>
      <c r="Z373" s="193"/>
      <c r="AA373" s="190"/>
      <c r="AB373" s="190"/>
      <c r="AC373" s="190"/>
    </row>
    <row r="374" spans="13:29" ht="15.5" x14ac:dyDescent="0.35">
      <c r="M374" s="329"/>
      <c r="N374" s="158"/>
      <c r="O374" s="158"/>
      <c r="P374" s="184"/>
      <c r="Q374" s="185"/>
      <c r="R374" s="186"/>
      <c r="S374" s="187"/>
      <c r="T374" s="188"/>
      <c r="U374" s="188"/>
      <c r="V374" s="188"/>
      <c r="W374" s="189"/>
      <c r="X374" s="189"/>
      <c r="Y374" s="190"/>
      <c r="Z374" s="191"/>
      <c r="AA374" s="190"/>
      <c r="AB374" s="204"/>
      <c r="AC374" s="190"/>
    </row>
    <row r="375" spans="13:29" ht="15.5" x14ac:dyDescent="0.35">
      <c r="M375" s="329"/>
      <c r="N375" s="158"/>
      <c r="O375" s="158"/>
      <c r="P375" s="184"/>
      <c r="Q375" s="185"/>
      <c r="R375" s="186"/>
      <c r="S375" s="187"/>
      <c r="T375" s="188"/>
      <c r="U375" s="188"/>
      <c r="V375" s="188"/>
      <c r="W375" s="189"/>
      <c r="X375" s="189"/>
      <c r="Y375" s="190"/>
      <c r="Z375" s="191"/>
      <c r="AA375" s="190"/>
      <c r="AB375" s="190"/>
      <c r="AC375" s="190"/>
    </row>
    <row r="376" spans="13:29" ht="15.5" x14ac:dyDescent="0.35">
      <c r="M376" s="329"/>
      <c r="N376" s="158"/>
      <c r="O376" s="158"/>
      <c r="P376" s="184"/>
      <c r="Q376" s="185"/>
      <c r="R376" s="186"/>
      <c r="S376" s="187"/>
      <c r="T376" s="188"/>
      <c r="U376" s="188"/>
      <c r="V376" s="188"/>
      <c r="W376" s="189"/>
      <c r="X376" s="189"/>
      <c r="Y376" s="190"/>
      <c r="Z376" s="191"/>
      <c r="AA376" s="190"/>
      <c r="AB376" s="204"/>
      <c r="AC376" s="190"/>
    </row>
    <row r="377" spans="13:29" ht="15.5" x14ac:dyDescent="0.35">
      <c r="M377" s="329"/>
      <c r="N377" s="158"/>
      <c r="O377" s="158"/>
      <c r="P377" s="184"/>
      <c r="Q377" s="185"/>
      <c r="R377" s="186"/>
      <c r="S377" s="187"/>
      <c r="T377" s="188"/>
      <c r="U377" s="188"/>
      <c r="V377" s="188"/>
      <c r="W377" s="189"/>
      <c r="X377" s="189"/>
      <c r="Y377" s="190"/>
      <c r="Z377" s="191"/>
      <c r="AA377" s="190"/>
      <c r="AB377" s="204"/>
      <c r="AC377" s="190"/>
    </row>
    <row r="378" spans="13:29" ht="15.5" x14ac:dyDescent="0.35">
      <c r="M378" s="329"/>
      <c r="N378" s="158"/>
      <c r="O378" s="158"/>
      <c r="P378" s="184"/>
      <c r="Q378" s="185"/>
      <c r="R378" s="186"/>
      <c r="S378" s="187"/>
      <c r="T378" s="188"/>
      <c r="U378" s="188"/>
      <c r="V378" s="188"/>
      <c r="W378" s="189"/>
      <c r="X378" s="189"/>
      <c r="Y378" s="190"/>
      <c r="Z378" s="191"/>
      <c r="AA378" s="190"/>
      <c r="AB378" s="204"/>
      <c r="AC378" s="190"/>
    </row>
    <row r="379" spans="13:29" ht="15.5" x14ac:dyDescent="0.35">
      <c r="M379" s="329"/>
      <c r="N379" s="158"/>
      <c r="O379" s="158"/>
      <c r="P379" s="184"/>
      <c r="Q379" s="185"/>
      <c r="R379" s="186"/>
      <c r="S379" s="187"/>
      <c r="T379" s="188"/>
      <c r="U379" s="188"/>
      <c r="V379" s="188"/>
      <c r="W379" s="189"/>
      <c r="X379" s="189"/>
      <c r="Y379" s="190"/>
      <c r="Z379" s="191"/>
      <c r="AA379" s="190"/>
      <c r="AB379" s="204"/>
      <c r="AC379" s="190"/>
    </row>
    <row r="380" spans="13:29" ht="15.5" x14ac:dyDescent="0.35">
      <c r="M380" s="329"/>
      <c r="N380" s="158"/>
      <c r="O380" s="158"/>
      <c r="P380" s="184"/>
      <c r="Q380" s="185"/>
      <c r="R380" s="186"/>
      <c r="S380" s="187"/>
      <c r="T380" s="188"/>
      <c r="U380" s="188"/>
      <c r="V380" s="188"/>
      <c r="W380" s="189"/>
      <c r="X380" s="189"/>
      <c r="Y380" s="190"/>
      <c r="Z380" s="191"/>
      <c r="AA380" s="190"/>
      <c r="AB380" s="204"/>
      <c r="AC380" s="190"/>
    </row>
    <row r="381" spans="13:29" ht="15.5" x14ac:dyDescent="0.35">
      <c r="M381" s="329"/>
      <c r="N381" s="158"/>
      <c r="O381" s="158"/>
      <c r="P381" s="184"/>
      <c r="Q381" s="185"/>
      <c r="R381" s="186"/>
      <c r="S381" s="187"/>
      <c r="T381" s="188"/>
      <c r="U381" s="188"/>
      <c r="V381" s="188"/>
      <c r="W381" s="189"/>
      <c r="X381" s="189"/>
      <c r="Y381" s="190"/>
      <c r="Z381" s="191"/>
      <c r="AA381" s="190"/>
      <c r="AB381" s="204"/>
      <c r="AC381" s="190"/>
    </row>
    <row r="382" spans="13:29" ht="15.5" x14ac:dyDescent="0.35">
      <c r="M382" s="329"/>
      <c r="N382" s="158"/>
      <c r="O382" s="158"/>
      <c r="P382" s="184"/>
      <c r="Q382" s="185"/>
      <c r="R382" s="186"/>
      <c r="S382" s="187"/>
      <c r="T382" s="188"/>
      <c r="U382" s="188"/>
      <c r="V382" s="188"/>
      <c r="W382" s="189"/>
      <c r="X382" s="189"/>
      <c r="Y382" s="190"/>
      <c r="Z382" s="191"/>
      <c r="AA382" s="190"/>
      <c r="AB382" s="204"/>
      <c r="AC382" s="190"/>
    </row>
    <row r="383" spans="13:29" ht="15.5" x14ac:dyDescent="0.35">
      <c r="M383" s="329"/>
      <c r="N383" s="158"/>
      <c r="O383" s="158"/>
      <c r="P383" s="184"/>
      <c r="Q383" s="185"/>
      <c r="R383" s="186"/>
      <c r="S383" s="187"/>
      <c r="T383" s="173"/>
      <c r="U383" s="192"/>
      <c r="V383" s="192"/>
      <c r="W383" s="189"/>
      <c r="X383" s="189"/>
      <c r="Y383" s="190"/>
      <c r="Z383" s="193"/>
      <c r="AA383" s="190"/>
      <c r="AB383" s="190"/>
      <c r="AC383" s="190"/>
    </row>
    <row r="384" spans="13:29" ht="15.5" x14ac:dyDescent="0.35">
      <c r="M384" s="329"/>
      <c r="N384" s="158"/>
      <c r="O384" s="158"/>
      <c r="P384" s="184"/>
      <c r="Q384" s="185"/>
      <c r="R384" s="186"/>
      <c r="S384" s="187"/>
      <c r="T384" s="188"/>
      <c r="U384" s="188"/>
      <c r="V384" s="188"/>
      <c r="W384" s="189"/>
      <c r="X384" s="189"/>
      <c r="Y384" s="190"/>
      <c r="Z384" s="191"/>
      <c r="AA384" s="190"/>
      <c r="AB384" s="204"/>
      <c r="AC384" s="190"/>
    </row>
    <row r="385" spans="13:29" ht="15.5" x14ac:dyDescent="0.35">
      <c r="M385" s="329"/>
      <c r="N385" s="158"/>
      <c r="O385" s="158"/>
      <c r="P385" s="184"/>
      <c r="Q385" s="185"/>
      <c r="R385" s="186"/>
      <c r="S385" s="187"/>
      <c r="T385" s="173"/>
      <c r="U385" s="192"/>
      <c r="V385" s="192"/>
      <c r="W385" s="189"/>
      <c r="X385" s="189"/>
      <c r="Y385" s="190"/>
      <c r="Z385" s="193"/>
      <c r="AA385" s="190"/>
      <c r="AB385" s="190"/>
      <c r="AC385" s="190"/>
    </row>
    <row r="386" spans="13:29" ht="15.5" x14ac:dyDescent="0.35">
      <c r="M386" s="329"/>
      <c r="N386" s="158"/>
      <c r="O386" s="158"/>
      <c r="P386" s="184"/>
      <c r="Q386" s="185"/>
      <c r="R386" s="186"/>
      <c r="S386" s="187"/>
      <c r="T386" s="173"/>
      <c r="U386" s="192"/>
      <c r="V386" s="192"/>
      <c r="W386" s="189"/>
      <c r="X386" s="189"/>
      <c r="Y386" s="190"/>
      <c r="Z386" s="193"/>
      <c r="AA386" s="190"/>
      <c r="AB386" s="190"/>
      <c r="AC386" s="190"/>
    </row>
    <row r="387" spans="13:29" ht="15.5" x14ac:dyDescent="0.35">
      <c r="M387" s="329"/>
      <c r="N387" s="158"/>
      <c r="O387" s="158"/>
      <c r="P387" s="184"/>
      <c r="Q387" s="185"/>
      <c r="R387" s="186"/>
      <c r="S387" s="187"/>
      <c r="T387" s="188"/>
      <c r="U387" s="188"/>
      <c r="V387" s="188"/>
      <c r="W387" s="189"/>
      <c r="X387" s="189"/>
      <c r="Y387" s="190"/>
      <c r="Z387" s="191"/>
      <c r="AA387" s="190"/>
      <c r="AB387" s="204"/>
      <c r="AC387" s="190"/>
    </row>
    <row r="388" spans="13:29" ht="15.5" x14ac:dyDescent="0.35">
      <c r="M388" s="329"/>
      <c r="N388" s="158"/>
      <c r="O388" s="158"/>
      <c r="P388" s="184"/>
      <c r="Q388" s="185"/>
      <c r="R388" s="186"/>
      <c r="S388" s="187"/>
      <c r="T388" s="188"/>
      <c r="U388" s="188"/>
      <c r="V388" s="188"/>
      <c r="W388" s="189"/>
      <c r="X388" s="189"/>
      <c r="Y388" s="190"/>
      <c r="Z388" s="191"/>
      <c r="AA388" s="190"/>
      <c r="AB388" s="204"/>
      <c r="AC388" s="190"/>
    </row>
    <row r="389" spans="13:29" ht="15.5" x14ac:dyDescent="0.35">
      <c r="M389" s="329"/>
      <c r="N389" s="158"/>
      <c r="O389" s="158"/>
      <c r="P389" s="184"/>
      <c r="Q389" s="185"/>
      <c r="R389" s="186"/>
      <c r="S389" s="187"/>
      <c r="T389" s="188"/>
      <c r="U389" s="188"/>
      <c r="V389" s="188"/>
      <c r="W389" s="189"/>
      <c r="X389" s="189"/>
      <c r="Y389" s="190"/>
      <c r="Z389" s="191"/>
      <c r="AA389" s="190"/>
      <c r="AB389" s="190"/>
      <c r="AC389" s="190"/>
    </row>
    <row r="390" spans="13:29" ht="15.5" x14ac:dyDescent="0.35">
      <c r="M390" s="329"/>
      <c r="N390" s="158"/>
      <c r="O390" s="158"/>
      <c r="P390" s="168"/>
      <c r="Q390" s="194"/>
      <c r="R390" s="195"/>
      <c r="S390" s="195"/>
      <c r="T390" s="192"/>
      <c r="U390" s="192"/>
      <c r="V390" s="192"/>
      <c r="W390" s="192"/>
      <c r="X390" s="192"/>
      <c r="Y390" s="190"/>
      <c r="Z390" s="212"/>
      <c r="AA390" s="190"/>
      <c r="AB390" s="190"/>
      <c r="AC390" s="190"/>
    </row>
    <row r="391" spans="13:29" ht="15.5" x14ac:dyDescent="0.35">
      <c r="M391" s="329"/>
      <c r="N391" s="158"/>
      <c r="O391" s="158"/>
      <c r="P391" s="168"/>
      <c r="Q391" s="194"/>
      <c r="R391" s="186"/>
      <c r="S391" s="195"/>
      <c r="T391" s="192"/>
      <c r="U391" s="192"/>
      <c r="V391" s="192"/>
      <c r="W391" s="192"/>
      <c r="X391" s="192"/>
      <c r="Y391" s="190"/>
      <c r="Z391" s="228"/>
      <c r="AA391" s="190"/>
      <c r="AB391" s="190"/>
      <c r="AC391" s="190"/>
    </row>
    <row r="392" spans="13:29" ht="15.5" x14ac:dyDescent="0.35">
      <c r="M392" s="329"/>
      <c r="N392" s="158"/>
      <c r="O392" s="158"/>
      <c r="P392" s="184"/>
      <c r="Q392" s="185"/>
      <c r="R392" s="186"/>
      <c r="S392" s="187"/>
      <c r="T392" s="173"/>
      <c r="U392" s="192"/>
      <c r="V392" s="192"/>
      <c r="W392" s="189"/>
      <c r="X392" s="189"/>
      <c r="Y392" s="190"/>
      <c r="Z392" s="193"/>
      <c r="AA392" s="190"/>
      <c r="AB392" s="190"/>
      <c r="AC392" s="190"/>
    </row>
    <row r="393" spans="13:29" ht="15.5" x14ac:dyDescent="0.35">
      <c r="M393" s="329"/>
      <c r="N393" s="158"/>
      <c r="O393" s="158"/>
      <c r="P393" s="184"/>
      <c r="Q393" s="185"/>
      <c r="R393" s="186"/>
      <c r="S393" s="187"/>
      <c r="T393" s="173"/>
      <c r="U393" s="192"/>
      <c r="V393" s="192"/>
      <c r="W393" s="189"/>
      <c r="X393" s="189"/>
      <c r="Y393" s="190"/>
      <c r="Z393" s="193"/>
      <c r="AA393" s="190"/>
      <c r="AB393" s="190"/>
      <c r="AC393" s="190"/>
    </row>
    <row r="394" spans="13:29" ht="15.5" x14ac:dyDescent="0.35">
      <c r="M394" s="329"/>
      <c r="N394" s="158"/>
      <c r="O394" s="158"/>
      <c r="P394" s="184"/>
      <c r="Q394" s="185"/>
      <c r="R394" s="186"/>
      <c r="S394" s="187"/>
      <c r="T394" s="173"/>
      <c r="U394" s="192"/>
      <c r="V394" s="192"/>
      <c r="W394" s="189"/>
      <c r="X394" s="189"/>
      <c r="Y394" s="190"/>
      <c r="Z394" s="193"/>
      <c r="AA394" s="190"/>
      <c r="AB394" s="190"/>
      <c r="AC394" s="190"/>
    </row>
    <row r="395" spans="13:29" ht="15.5" x14ac:dyDescent="0.35">
      <c r="M395" s="329"/>
      <c r="N395" s="158"/>
      <c r="O395" s="158"/>
      <c r="P395" s="184"/>
      <c r="Q395" s="185"/>
      <c r="R395" s="186"/>
      <c r="S395" s="187"/>
      <c r="T395" s="188"/>
      <c r="U395" s="188"/>
      <c r="V395" s="188"/>
      <c r="W395" s="189"/>
      <c r="X395" s="189"/>
      <c r="Y395" s="190"/>
      <c r="Z395" s="191"/>
      <c r="AA395" s="190"/>
      <c r="AB395" s="204"/>
      <c r="AC395" s="190"/>
    </row>
    <row r="396" spans="13:29" ht="15.5" x14ac:dyDescent="0.35">
      <c r="M396" s="329"/>
      <c r="N396" s="158"/>
      <c r="O396" s="158"/>
      <c r="P396" s="184"/>
      <c r="Q396" s="185"/>
      <c r="R396" s="186"/>
      <c r="S396" s="187"/>
      <c r="T396" s="188"/>
      <c r="U396" s="188"/>
      <c r="V396" s="188"/>
      <c r="W396" s="189"/>
      <c r="X396" s="189"/>
      <c r="Y396" s="190"/>
      <c r="Z396" s="191"/>
      <c r="AA396" s="190"/>
      <c r="AB396" s="204"/>
      <c r="AC396" s="190"/>
    </row>
    <row r="397" spans="13:29" ht="15.5" x14ac:dyDescent="0.35">
      <c r="M397" s="329"/>
      <c r="N397" s="158"/>
      <c r="O397" s="158"/>
      <c r="P397" s="168"/>
      <c r="Q397" s="194"/>
      <c r="R397" s="195"/>
      <c r="S397" s="195"/>
      <c r="T397" s="192"/>
      <c r="U397" s="192"/>
      <c r="V397" s="192"/>
      <c r="W397" s="192"/>
      <c r="X397" s="192"/>
      <c r="Y397" s="190"/>
      <c r="Z397" s="212"/>
      <c r="AA397" s="190"/>
      <c r="AB397" s="190"/>
      <c r="AC397" s="190"/>
    </row>
    <row r="398" spans="13:29" ht="15.5" x14ac:dyDescent="0.35">
      <c r="M398" s="329"/>
      <c r="N398" s="158"/>
      <c r="O398" s="158"/>
      <c r="P398" s="184"/>
      <c r="Q398" s="185"/>
      <c r="R398" s="186"/>
      <c r="S398" s="187"/>
      <c r="T398" s="188"/>
      <c r="U398" s="188"/>
      <c r="V398" s="188"/>
      <c r="W398" s="189"/>
      <c r="X398" s="189"/>
      <c r="Y398" s="190"/>
      <c r="Z398" s="191"/>
      <c r="AA398" s="190"/>
      <c r="AB398" s="204"/>
      <c r="AC398" s="190"/>
    </row>
    <row r="399" spans="13:29" ht="15.5" x14ac:dyDescent="0.35">
      <c r="M399" s="329"/>
      <c r="N399" s="158"/>
      <c r="O399" s="158"/>
      <c r="P399" s="184"/>
      <c r="Q399" s="185"/>
      <c r="R399" s="186"/>
      <c r="S399" s="187"/>
      <c r="T399" s="188"/>
      <c r="U399" s="188"/>
      <c r="V399" s="188"/>
      <c r="W399" s="189"/>
      <c r="X399" s="189"/>
      <c r="Y399" s="190"/>
      <c r="Z399" s="191"/>
      <c r="AA399" s="190"/>
      <c r="AB399" s="190"/>
      <c r="AC399" s="190"/>
    </row>
    <row r="400" spans="13:29" ht="15.5" x14ac:dyDescent="0.35">
      <c r="M400" s="329"/>
      <c r="N400" s="158"/>
      <c r="O400" s="158"/>
      <c r="P400" s="184"/>
      <c r="Q400" s="185"/>
      <c r="R400" s="186"/>
      <c r="S400" s="187"/>
      <c r="T400" s="188"/>
      <c r="U400" s="188"/>
      <c r="V400" s="188"/>
      <c r="W400" s="189"/>
      <c r="X400" s="189"/>
      <c r="Y400" s="190"/>
      <c r="Z400" s="191"/>
      <c r="AA400" s="190"/>
      <c r="AB400" s="190"/>
      <c r="AC400" s="190"/>
    </row>
    <row r="401" spans="13:29" ht="15.5" x14ac:dyDescent="0.35">
      <c r="M401" s="329"/>
      <c r="N401" s="158"/>
      <c r="O401" s="158"/>
      <c r="P401" s="184"/>
      <c r="Q401" s="185"/>
      <c r="R401" s="186"/>
      <c r="S401" s="187"/>
      <c r="T401" s="188"/>
      <c r="U401" s="188"/>
      <c r="V401" s="188"/>
      <c r="W401" s="189"/>
      <c r="X401" s="189"/>
      <c r="Y401" s="190"/>
      <c r="Z401" s="191"/>
      <c r="AA401" s="190"/>
      <c r="AB401" s="190"/>
      <c r="AC401" s="190"/>
    </row>
    <row r="402" spans="13:29" ht="15.5" x14ac:dyDescent="0.35">
      <c r="M402" s="329"/>
      <c r="N402" s="158"/>
      <c r="O402" s="158"/>
      <c r="P402" s="184"/>
      <c r="Q402" s="185"/>
      <c r="R402" s="186"/>
      <c r="S402" s="187"/>
      <c r="T402" s="188"/>
      <c r="U402" s="188"/>
      <c r="V402" s="188"/>
      <c r="W402" s="189"/>
      <c r="X402" s="189"/>
      <c r="Y402" s="190"/>
      <c r="Z402" s="191"/>
      <c r="AA402" s="190"/>
      <c r="AB402" s="204"/>
      <c r="AC402" s="190"/>
    </row>
    <row r="403" spans="13:29" ht="15.5" x14ac:dyDescent="0.35">
      <c r="M403" s="329"/>
      <c r="N403" s="158"/>
      <c r="O403" s="158"/>
      <c r="P403" s="168"/>
      <c r="Q403" s="194"/>
      <c r="R403" s="195"/>
      <c r="S403" s="195"/>
      <c r="T403" s="192"/>
      <c r="U403" s="192"/>
      <c r="V403" s="192"/>
      <c r="W403" s="192"/>
      <c r="X403" s="192"/>
      <c r="Y403" s="190"/>
      <c r="Z403" s="212"/>
      <c r="AA403" s="190"/>
      <c r="AB403" s="190"/>
      <c r="AC403" s="190"/>
    </row>
    <row r="404" spans="13:29" ht="15.5" x14ac:dyDescent="0.35">
      <c r="M404" s="329"/>
      <c r="N404" s="158"/>
      <c r="O404" s="158"/>
      <c r="P404" s="168"/>
      <c r="Q404" s="194"/>
      <c r="R404" s="195"/>
      <c r="S404" s="195"/>
      <c r="T404" s="192"/>
      <c r="U404" s="192"/>
      <c r="V404" s="192"/>
      <c r="W404" s="192"/>
      <c r="X404" s="192"/>
      <c r="Y404" s="190"/>
      <c r="Z404" s="212"/>
      <c r="AA404" s="190"/>
      <c r="AB404" s="190"/>
      <c r="AC404" s="190"/>
    </row>
    <row r="405" spans="13:29" ht="15.5" x14ac:dyDescent="0.35">
      <c r="M405" s="329"/>
      <c r="N405" s="158"/>
      <c r="O405" s="158"/>
      <c r="P405" s="184"/>
      <c r="Q405" s="185"/>
      <c r="R405" s="186"/>
      <c r="S405" s="187"/>
      <c r="T405" s="173"/>
      <c r="U405" s="192"/>
      <c r="V405" s="192"/>
      <c r="W405" s="189"/>
      <c r="X405" s="189"/>
      <c r="Y405" s="190"/>
      <c r="Z405" s="193"/>
      <c r="AA405" s="190"/>
      <c r="AB405" s="190"/>
      <c r="AC405" s="190"/>
    </row>
    <row r="406" spans="13:29" ht="15.5" x14ac:dyDescent="0.35">
      <c r="M406" s="329"/>
      <c r="N406" s="158"/>
      <c r="O406" s="158"/>
      <c r="P406" s="184"/>
      <c r="Q406" s="185"/>
      <c r="R406" s="186"/>
      <c r="S406" s="187"/>
      <c r="T406" s="173"/>
      <c r="U406" s="192"/>
      <c r="V406" s="192"/>
      <c r="W406" s="189"/>
      <c r="X406" s="189"/>
      <c r="Y406" s="190"/>
      <c r="Z406" s="193"/>
      <c r="AA406" s="190"/>
      <c r="AB406" s="190"/>
      <c r="AC406" s="190"/>
    </row>
    <row r="407" spans="13:29" ht="15.5" x14ac:dyDescent="0.35">
      <c r="M407" s="329"/>
      <c r="N407" s="158"/>
      <c r="O407" s="158"/>
      <c r="P407" s="184"/>
      <c r="Q407" s="185"/>
      <c r="R407" s="186"/>
      <c r="S407" s="187"/>
      <c r="T407" s="188"/>
      <c r="U407" s="188"/>
      <c r="V407" s="188"/>
      <c r="W407" s="189"/>
      <c r="X407" s="189"/>
      <c r="Y407" s="190"/>
      <c r="Z407" s="191"/>
      <c r="AA407" s="190"/>
      <c r="AB407" s="204"/>
      <c r="AC407" s="190"/>
    </row>
    <row r="408" spans="13:29" ht="15.5" x14ac:dyDescent="0.35">
      <c r="M408" s="329"/>
      <c r="N408" s="158"/>
      <c r="O408" s="158"/>
      <c r="P408" s="184"/>
      <c r="Q408" s="185"/>
      <c r="R408" s="186"/>
      <c r="S408" s="187"/>
      <c r="T408" s="188"/>
      <c r="U408" s="188"/>
      <c r="V408" s="188"/>
      <c r="W408" s="189"/>
      <c r="X408" s="189"/>
      <c r="Y408" s="190"/>
      <c r="Z408" s="191"/>
      <c r="AA408" s="190"/>
      <c r="AB408" s="190"/>
      <c r="AC408" s="190"/>
    </row>
    <row r="409" spans="13:29" ht="15.5" x14ac:dyDescent="0.35">
      <c r="M409" s="329"/>
      <c r="N409" s="158"/>
      <c r="O409" s="158"/>
      <c r="P409" s="184"/>
      <c r="Q409" s="185"/>
      <c r="R409" s="186"/>
      <c r="S409" s="187"/>
      <c r="T409" s="188"/>
      <c r="U409" s="188"/>
      <c r="V409" s="188"/>
      <c r="W409" s="189"/>
      <c r="X409" s="189"/>
      <c r="Y409" s="190"/>
      <c r="Z409" s="191"/>
      <c r="AA409" s="190"/>
      <c r="AB409" s="190"/>
      <c r="AC409" s="190"/>
    </row>
    <row r="410" spans="13:29" ht="15.5" x14ac:dyDescent="0.35">
      <c r="M410" s="329"/>
      <c r="N410" s="158"/>
      <c r="O410" s="158"/>
      <c r="P410" s="184"/>
      <c r="Q410" s="185"/>
      <c r="R410" s="186"/>
      <c r="S410" s="187"/>
      <c r="T410" s="173"/>
      <c r="U410" s="192"/>
      <c r="V410" s="192"/>
      <c r="W410" s="189"/>
      <c r="X410" s="189"/>
      <c r="Y410" s="190"/>
      <c r="Z410" s="193"/>
      <c r="AA410" s="190"/>
      <c r="AB410" s="190"/>
      <c r="AC410" s="190"/>
    </row>
    <row r="411" spans="13:29" ht="15.5" x14ac:dyDescent="0.35">
      <c r="M411" s="329"/>
      <c r="N411" s="158"/>
      <c r="O411" s="158"/>
      <c r="P411" s="184"/>
      <c r="Q411" s="185"/>
      <c r="R411" s="186"/>
      <c r="S411" s="187"/>
      <c r="T411" s="188"/>
      <c r="U411" s="188"/>
      <c r="V411" s="188"/>
      <c r="W411" s="189"/>
      <c r="X411" s="189"/>
      <c r="Y411" s="190"/>
      <c r="Z411" s="191"/>
      <c r="AA411" s="190"/>
      <c r="AB411" s="204"/>
      <c r="AC411" s="190"/>
    </row>
    <row r="412" spans="13:29" ht="15.5" x14ac:dyDescent="0.35">
      <c r="M412" s="329"/>
      <c r="N412" s="158"/>
      <c r="O412" s="158"/>
      <c r="P412" s="184"/>
      <c r="Q412" s="185"/>
      <c r="R412" s="186"/>
      <c r="S412" s="187"/>
      <c r="T412" s="188"/>
      <c r="U412" s="188"/>
      <c r="V412" s="188"/>
      <c r="W412" s="189"/>
      <c r="X412" s="189"/>
      <c r="Y412" s="190"/>
      <c r="Z412" s="191"/>
      <c r="AA412" s="190"/>
      <c r="AB412" s="204"/>
      <c r="AC412" s="190"/>
    </row>
    <row r="413" spans="13:29" ht="15.5" x14ac:dyDescent="0.35">
      <c r="M413" s="329"/>
      <c r="N413" s="158"/>
      <c r="O413" s="158"/>
      <c r="P413" s="168"/>
      <c r="Q413" s="194"/>
      <c r="R413" s="195"/>
      <c r="S413" s="195"/>
      <c r="T413" s="192"/>
      <c r="U413" s="192"/>
      <c r="V413" s="192"/>
      <c r="W413" s="192"/>
      <c r="X413" s="192"/>
      <c r="Y413" s="190"/>
      <c r="Z413" s="196"/>
      <c r="AA413" s="190"/>
      <c r="AB413" s="197"/>
      <c r="AC413" s="190"/>
    </row>
    <row r="414" spans="13:29" ht="15.5" x14ac:dyDescent="0.35">
      <c r="M414" s="329"/>
      <c r="N414" s="158"/>
      <c r="O414" s="158"/>
      <c r="P414" s="184"/>
      <c r="Q414" s="185"/>
      <c r="R414" s="186"/>
      <c r="S414" s="187"/>
      <c r="T414" s="188"/>
      <c r="U414" s="188"/>
      <c r="V414" s="188"/>
      <c r="W414" s="189"/>
      <c r="X414" s="189"/>
      <c r="Y414" s="190"/>
      <c r="Z414" s="191"/>
      <c r="AA414" s="190"/>
      <c r="AB414" s="204"/>
      <c r="AC414" s="190"/>
    </row>
    <row r="415" spans="13:29" ht="15.5" x14ac:dyDescent="0.35">
      <c r="M415" s="329"/>
      <c r="N415" s="158"/>
      <c r="O415" s="158"/>
      <c r="P415" s="184"/>
      <c r="Q415" s="185"/>
      <c r="R415" s="186"/>
      <c r="S415" s="187"/>
      <c r="T415" s="188"/>
      <c r="U415" s="188"/>
      <c r="V415" s="188"/>
      <c r="W415" s="189"/>
      <c r="X415" s="189"/>
      <c r="Y415" s="190"/>
      <c r="Z415" s="191"/>
      <c r="AA415" s="190"/>
      <c r="AB415" s="204"/>
      <c r="AC415" s="190"/>
    </row>
    <row r="416" spans="13:29" ht="15.5" x14ac:dyDescent="0.35">
      <c r="M416" s="329"/>
      <c r="N416" s="158"/>
      <c r="O416" s="158"/>
      <c r="P416" s="168"/>
      <c r="Q416" s="194"/>
      <c r="R416" s="195"/>
      <c r="S416" s="195"/>
      <c r="T416" s="192"/>
      <c r="U416" s="192"/>
      <c r="V416" s="192"/>
      <c r="W416" s="192"/>
      <c r="X416" s="192"/>
      <c r="Y416" s="190"/>
      <c r="Z416" s="212"/>
      <c r="AA416" s="190"/>
      <c r="AB416" s="190"/>
      <c r="AC416" s="190"/>
    </row>
    <row r="417" spans="13:29" ht="15.5" x14ac:dyDescent="0.35">
      <c r="M417" s="329"/>
      <c r="N417" s="158"/>
      <c r="O417" s="158"/>
      <c r="P417" s="168"/>
      <c r="Q417" s="194"/>
      <c r="R417" s="195"/>
      <c r="S417" s="195"/>
      <c r="T417" s="192"/>
      <c r="U417" s="192"/>
      <c r="V417" s="192"/>
      <c r="W417" s="192"/>
      <c r="X417" s="192"/>
      <c r="Y417" s="190"/>
      <c r="Z417" s="196"/>
      <c r="AA417" s="190"/>
      <c r="AB417" s="197"/>
      <c r="AC417" s="190"/>
    </row>
    <row r="418" spans="13:29" ht="15.5" x14ac:dyDescent="0.35">
      <c r="M418" s="329"/>
      <c r="N418" s="158"/>
      <c r="O418" s="158"/>
      <c r="P418" s="184"/>
      <c r="Q418" s="185"/>
      <c r="R418" s="186"/>
      <c r="S418" s="187"/>
      <c r="T418" s="173"/>
      <c r="U418" s="192"/>
      <c r="V418" s="192"/>
      <c r="W418" s="189"/>
      <c r="X418" s="189"/>
      <c r="Y418" s="190"/>
      <c r="Z418" s="193"/>
      <c r="AA418" s="190"/>
      <c r="AB418" s="190"/>
      <c r="AC418" s="190"/>
    </row>
    <row r="419" spans="13:29" ht="15.5" x14ac:dyDescent="0.35">
      <c r="M419" s="329"/>
      <c r="N419" s="158"/>
      <c r="O419" s="158"/>
      <c r="P419" s="184"/>
      <c r="Q419" s="185"/>
      <c r="R419" s="186"/>
      <c r="S419" s="187"/>
      <c r="T419" s="173"/>
      <c r="U419" s="203"/>
      <c r="V419" s="203"/>
      <c r="W419" s="192"/>
      <c r="X419" s="192"/>
      <c r="Y419" s="190"/>
      <c r="Z419" s="193"/>
      <c r="AA419" s="190"/>
      <c r="AB419" s="190"/>
      <c r="AC419" s="190"/>
    </row>
    <row r="420" spans="13:29" ht="15.5" x14ac:dyDescent="0.35">
      <c r="M420" s="329"/>
      <c r="N420" s="158"/>
      <c r="O420" s="158"/>
      <c r="P420" s="168"/>
      <c r="Q420" s="194"/>
      <c r="R420" s="195"/>
      <c r="S420" s="195"/>
      <c r="T420" s="192"/>
      <c r="U420" s="192"/>
      <c r="V420" s="192"/>
      <c r="W420" s="192"/>
      <c r="X420" s="192"/>
      <c r="Y420" s="190"/>
      <c r="Z420" s="196"/>
      <c r="AA420" s="190"/>
      <c r="AB420" s="197"/>
      <c r="AC420" s="190"/>
    </row>
    <row r="421" spans="13:29" ht="15.5" x14ac:dyDescent="0.35">
      <c r="M421" s="329"/>
      <c r="N421" s="158"/>
      <c r="O421" s="158"/>
      <c r="P421" s="168"/>
      <c r="Q421" s="194"/>
      <c r="R421" s="195"/>
      <c r="S421" s="195"/>
      <c r="T421" s="192"/>
      <c r="U421" s="192"/>
      <c r="V421" s="192"/>
      <c r="W421" s="192"/>
      <c r="X421" s="192"/>
      <c r="Y421" s="190"/>
      <c r="Z421" s="196"/>
      <c r="AA421" s="190"/>
      <c r="AB421" s="197"/>
      <c r="AC421" s="190"/>
    </row>
    <row r="422" spans="13:29" ht="15.5" x14ac:dyDescent="0.35">
      <c r="M422" s="329"/>
      <c r="N422" s="198"/>
      <c r="O422" s="158"/>
      <c r="P422" s="184"/>
      <c r="Q422" s="185"/>
      <c r="R422" s="186"/>
      <c r="S422" s="187"/>
      <c r="T422" s="173"/>
      <c r="U422" s="192"/>
      <c r="V422" s="192"/>
      <c r="W422" s="189"/>
      <c r="X422" s="189"/>
      <c r="Y422" s="190"/>
      <c r="Z422" s="193"/>
      <c r="AA422" s="190"/>
      <c r="AB422" s="190"/>
      <c r="AC422" s="190"/>
    </row>
    <row r="423" spans="13:29" ht="15.5" x14ac:dyDescent="0.35">
      <c r="M423" s="329"/>
      <c r="N423" s="158"/>
      <c r="O423" s="158"/>
      <c r="P423" s="168"/>
      <c r="Q423" s="194"/>
      <c r="R423" s="195"/>
      <c r="S423" s="195"/>
      <c r="T423" s="192"/>
      <c r="U423" s="192"/>
      <c r="V423" s="192"/>
      <c r="W423" s="192"/>
      <c r="X423" s="192"/>
      <c r="Y423" s="190"/>
      <c r="Z423" s="196"/>
      <c r="AA423" s="190"/>
      <c r="AB423" s="197"/>
      <c r="AC423" s="190"/>
    </row>
    <row r="424" spans="13:29" ht="15.5" x14ac:dyDescent="0.35">
      <c r="M424" s="329"/>
      <c r="N424" s="158"/>
      <c r="O424" s="158"/>
      <c r="P424" s="184"/>
      <c r="Q424" s="185"/>
      <c r="R424" s="186"/>
      <c r="S424" s="187"/>
      <c r="T424" s="173"/>
      <c r="U424" s="192"/>
      <c r="V424" s="192"/>
      <c r="W424" s="189"/>
      <c r="X424" s="189"/>
      <c r="Y424" s="190"/>
      <c r="Z424" s="193"/>
      <c r="AA424" s="190"/>
      <c r="AB424" s="190"/>
      <c r="AC424" s="190"/>
    </row>
    <row r="425" spans="13:29" ht="15.5" x14ac:dyDescent="0.35">
      <c r="M425" s="329"/>
      <c r="N425" s="158"/>
      <c r="O425" s="158"/>
      <c r="P425" s="184"/>
      <c r="Q425" s="185"/>
      <c r="R425" s="186"/>
      <c r="S425" s="187"/>
      <c r="T425" s="173"/>
      <c r="U425" s="192"/>
      <c r="V425" s="192"/>
      <c r="W425" s="189"/>
      <c r="X425" s="189"/>
      <c r="Y425" s="190"/>
      <c r="Z425" s="193"/>
      <c r="AA425" s="190"/>
      <c r="AB425" s="190"/>
      <c r="AC425" s="190"/>
    </row>
    <row r="426" spans="13:29" ht="15.5" x14ac:dyDescent="0.35">
      <c r="M426" s="329"/>
      <c r="N426" s="158"/>
      <c r="O426" s="158"/>
      <c r="P426" s="168"/>
      <c r="Q426" s="194"/>
      <c r="R426" s="195"/>
      <c r="S426" s="195"/>
      <c r="T426" s="192"/>
      <c r="U426" s="192"/>
      <c r="V426" s="192"/>
      <c r="W426" s="192"/>
      <c r="X426" s="192"/>
      <c r="Y426" s="190"/>
      <c r="Z426" s="196"/>
      <c r="AA426" s="190"/>
      <c r="AB426" s="197"/>
      <c r="AC426" s="190"/>
    </row>
    <row r="427" spans="13:29" ht="15.5" x14ac:dyDescent="0.35">
      <c r="M427" s="329"/>
      <c r="N427" s="158"/>
      <c r="O427" s="158"/>
      <c r="P427" s="184"/>
      <c r="Q427" s="185"/>
      <c r="R427" s="186"/>
      <c r="S427" s="187"/>
      <c r="T427" s="173"/>
      <c r="U427" s="192"/>
      <c r="V427" s="192"/>
      <c r="W427" s="189"/>
      <c r="X427" s="189"/>
      <c r="Y427" s="190"/>
      <c r="Z427" s="193"/>
      <c r="AA427" s="190"/>
      <c r="AB427" s="190"/>
      <c r="AC427" s="190"/>
    </row>
    <row r="428" spans="13:29" ht="15.5" x14ac:dyDescent="0.35">
      <c r="M428" s="329"/>
      <c r="N428" s="158"/>
      <c r="O428" s="158"/>
      <c r="P428" s="168"/>
      <c r="Q428" s="194"/>
      <c r="R428" s="186"/>
      <c r="S428" s="195"/>
      <c r="T428" s="192"/>
      <c r="U428" s="192"/>
      <c r="V428" s="192"/>
      <c r="W428" s="192"/>
      <c r="X428" s="192"/>
      <c r="Y428" s="190"/>
      <c r="Z428" s="193"/>
      <c r="AA428" s="190"/>
      <c r="AB428" s="190"/>
      <c r="AC428" s="190"/>
    </row>
    <row r="429" spans="13:29" ht="15.5" x14ac:dyDescent="0.35">
      <c r="M429" s="329"/>
      <c r="N429" s="158"/>
      <c r="O429" s="158"/>
      <c r="P429" s="184"/>
      <c r="Q429" s="185"/>
      <c r="R429" s="186"/>
      <c r="S429" s="187"/>
      <c r="T429" s="173"/>
      <c r="U429" s="192"/>
      <c r="V429" s="192"/>
      <c r="W429" s="189"/>
      <c r="X429" s="189"/>
      <c r="Y429" s="190"/>
      <c r="Z429" s="193"/>
      <c r="AA429" s="190"/>
      <c r="AB429" s="190"/>
      <c r="AC429" s="190"/>
    </row>
    <row r="430" spans="13:29" ht="15.5" x14ac:dyDescent="0.35">
      <c r="M430" s="329"/>
      <c r="N430" s="158"/>
      <c r="O430" s="158"/>
      <c r="P430" s="184"/>
      <c r="Q430" s="185"/>
      <c r="R430" s="186"/>
      <c r="S430" s="187"/>
      <c r="T430" s="173"/>
      <c r="U430" s="192"/>
      <c r="V430" s="192"/>
      <c r="W430" s="189"/>
      <c r="X430" s="189"/>
      <c r="Y430" s="190"/>
      <c r="Z430" s="193"/>
      <c r="AA430" s="190"/>
      <c r="AB430" s="190"/>
      <c r="AC430" s="190"/>
    </row>
    <row r="431" spans="13:29" ht="15.5" x14ac:dyDescent="0.35">
      <c r="M431" s="329"/>
      <c r="N431" s="158"/>
      <c r="O431" s="158"/>
      <c r="P431" s="184"/>
      <c r="Q431" s="185"/>
      <c r="R431" s="186"/>
      <c r="S431" s="187"/>
      <c r="T431" s="173"/>
      <c r="U431" s="192"/>
      <c r="V431" s="192"/>
      <c r="W431" s="189"/>
      <c r="X431" s="189"/>
      <c r="Y431" s="190"/>
      <c r="Z431" s="193"/>
      <c r="AA431" s="190"/>
      <c r="AB431" s="190"/>
      <c r="AC431" s="190"/>
    </row>
    <row r="432" spans="13:29" ht="15.5" x14ac:dyDescent="0.35">
      <c r="M432" s="343"/>
      <c r="N432" s="158"/>
      <c r="O432" s="199"/>
      <c r="P432" s="200"/>
      <c r="Q432" s="201"/>
      <c r="R432" s="208"/>
      <c r="S432" s="202"/>
      <c r="T432" s="203"/>
      <c r="U432" s="203"/>
      <c r="V432" s="203"/>
      <c r="W432" s="192"/>
      <c r="X432" s="192"/>
      <c r="Y432" s="190"/>
      <c r="Z432" s="193"/>
      <c r="AA432" s="190"/>
      <c r="AB432" s="190"/>
      <c r="AC432" s="190"/>
    </row>
    <row r="433" spans="13:29" ht="15.5" x14ac:dyDescent="0.35">
      <c r="M433" s="329"/>
      <c r="N433" s="158"/>
      <c r="O433" s="199"/>
      <c r="P433" s="200"/>
      <c r="Q433" s="201"/>
      <c r="R433" s="195"/>
      <c r="S433" s="202"/>
      <c r="T433" s="203"/>
      <c r="U433" s="203"/>
      <c r="V433" s="203"/>
      <c r="W433" s="192"/>
      <c r="X433" s="192"/>
      <c r="Y433" s="190"/>
      <c r="Z433" s="193"/>
      <c r="AA433" s="190"/>
      <c r="AB433" s="190"/>
      <c r="AC433" s="190"/>
    </row>
    <row r="434" spans="13:29" ht="15.5" x14ac:dyDescent="0.35">
      <c r="M434" s="329"/>
      <c r="N434" s="158"/>
      <c r="O434" s="205"/>
      <c r="P434" s="209"/>
      <c r="Q434" s="210"/>
      <c r="R434" s="195"/>
      <c r="S434" s="202"/>
      <c r="T434" s="211"/>
      <c r="U434" s="203"/>
      <c r="V434" s="203"/>
      <c r="W434" s="192"/>
      <c r="X434" s="192"/>
      <c r="Y434" s="190"/>
      <c r="Z434" s="193"/>
      <c r="AA434" s="190"/>
      <c r="AB434" s="190"/>
      <c r="AC434" s="190"/>
    </row>
    <row r="435" spans="13:29" ht="15.5" x14ac:dyDescent="0.35">
      <c r="M435" s="329"/>
      <c r="N435" s="158"/>
      <c r="O435" s="158"/>
      <c r="P435" s="184"/>
      <c r="Q435" s="185"/>
      <c r="R435" s="186"/>
      <c r="S435" s="187"/>
      <c r="T435" s="173"/>
      <c r="U435" s="192"/>
      <c r="V435" s="192"/>
      <c r="W435" s="189"/>
      <c r="X435" s="189"/>
      <c r="Y435" s="190"/>
      <c r="Z435" s="193"/>
      <c r="AA435" s="190"/>
      <c r="AB435" s="190"/>
      <c r="AC435" s="190"/>
    </row>
    <row r="436" spans="13:29" ht="15.5" x14ac:dyDescent="0.35">
      <c r="M436" s="329"/>
      <c r="N436" s="158"/>
      <c r="O436" s="158"/>
      <c r="P436" s="184"/>
      <c r="Q436" s="185"/>
      <c r="R436" s="186"/>
      <c r="S436" s="187"/>
      <c r="T436" s="173"/>
      <c r="U436" s="192"/>
      <c r="V436" s="192"/>
      <c r="W436" s="189"/>
      <c r="X436" s="189"/>
      <c r="Y436" s="190"/>
      <c r="Z436" s="193"/>
      <c r="AA436" s="190"/>
      <c r="AB436" s="190"/>
      <c r="AC436" s="190"/>
    </row>
    <row r="437" spans="13:29" ht="15.5" x14ac:dyDescent="0.35">
      <c r="M437" s="329"/>
      <c r="N437" s="158"/>
      <c r="O437" s="158"/>
      <c r="P437" s="184"/>
      <c r="Q437" s="185"/>
      <c r="R437" s="186"/>
      <c r="S437" s="187"/>
      <c r="T437" s="173"/>
      <c r="U437" s="192"/>
      <c r="V437" s="192"/>
      <c r="W437" s="189"/>
      <c r="X437" s="189"/>
      <c r="Y437" s="190"/>
      <c r="Z437" s="193"/>
      <c r="AA437" s="190"/>
      <c r="AB437" s="190"/>
      <c r="AC437" s="190"/>
    </row>
    <row r="438" spans="13:29" ht="15.5" x14ac:dyDescent="0.35">
      <c r="M438" s="329"/>
      <c r="N438" s="158"/>
      <c r="O438" s="158"/>
      <c r="P438" s="184"/>
      <c r="Q438" s="185"/>
      <c r="R438" s="195"/>
      <c r="S438" s="202"/>
      <c r="T438" s="189"/>
      <c r="U438" s="203"/>
      <c r="V438" s="203"/>
      <c r="W438" s="192"/>
      <c r="X438" s="192"/>
      <c r="Y438" s="190"/>
      <c r="Z438" s="193"/>
      <c r="AA438" s="190"/>
      <c r="AB438" s="190"/>
      <c r="AC438" s="190"/>
    </row>
    <row r="439" spans="13:29" ht="15.5" x14ac:dyDescent="0.35">
      <c r="M439" s="329"/>
      <c r="N439" s="158"/>
      <c r="O439" s="158"/>
      <c r="P439" s="184"/>
      <c r="Q439" s="185"/>
      <c r="R439" s="186"/>
      <c r="S439" s="187"/>
      <c r="T439" s="330"/>
      <c r="U439" s="192"/>
      <c r="V439" s="192"/>
      <c r="W439" s="189"/>
      <c r="X439" s="189"/>
      <c r="Y439" s="190"/>
      <c r="Z439" s="193"/>
      <c r="AA439" s="190"/>
      <c r="AB439" s="190"/>
      <c r="AC439" s="190"/>
    </row>
    <row r="440" spans="13:29" ht="15.5" x14ac:dyDescent="0.35">
      <c r="M440" s="329"/>
      <c r="N440" s="158"/>
      <c r="O440" s="158"/>
      <c r="P440" s="168"/>
      <c r="Q440" s="194"/>
      <c r="R440" s="195"/>
      <c r="S440" s="195"/>
      <c r="T440" s="192"/>
      <c r="U440" s="192"/>
      <c r="V440" s="192"/>
      <c r="W440" s="192"/>
      <c r="X440" s="189"/>
      <c r="Y440" s="190"/>
      <c r="Z440" s="196"/>
      <c r="AA440" s="190"/>
      <c r="AB440" s="197"/>
      <c r="AC440" s="190"/>
    </row>
    <row r="441" spans="13:29" ht="15.5" x14ac:dyDescent="0.35">
      <c r="M441" s="329"/>
      <c r="N441" s="158"/>
      <c r="O441" s="158"/>
      <c r="P441" s="184"/>
      <c r="Q441" s="185"/>
      <c r="R441" s="186"/>
      <c r="S441" s="187"/>
      <c r="T441" s="173"/>
      <c r="U441" s="192"/>
      <c r="V441" s="192"/>
      <c r="W441" s="189"/>
      <c r="X441" s="189"/>
      <c r="Y441" s="190"/>
      <c r="Z441" s="193"/>
      <c r="AA441" s="190"/>
      <c r="AB441" s="190"/>
      <c r="AC441" s="190"/>
    </row>
    <row r="442" spans="13:29" ht="15.5" x14ac:dyDescent="0.35">
      <c r="M442" s="329"/>
      <c r="N442" s="158"/>
      <c r="O442" s="158"/>
      <c r="P442" s="184"/>
      <c r="Q442" s="185"/>
      <c r="R442" s="186"/>
      <c r="S442" s="187"/>
      <c r="T442" s="330"/>
      <c r="U442" s="192"/>
      <c r="V442" s="192"/>
      <c r="W442" s="189"/>
      <c r="X442" s="189"/>
      <c r="Y442" s="190"/>
      <c r="Z442" s="193"/>
      <c r="AA442" s="190"/>
      <c r="AB442" s="190"/>
      <c r="AC442" s="190"/>
    </row>
    <row r="443" spans="13:29" ht="15.5" x14ac:dyDescent="0.35">
      <c r="M443" s="329"/>
      <c r="N443" s="158"/>
      <c r="O443" s="158"/>
      <c r="P443" s="184"/>
      <c r="Q443" s="185"/>
      <c r="R443" s="186"/>
      <c r="S443" s="187"/>
      <c r="T443" s="330"/>
      <c r="U443" s="192"/>
      <c r="V443" s="192"/>
      <c r="W443" s="189"/>
      <c r="X443" s="189"/>
      <c r="Y443" s="190"/>
      <c r="Z443" s="193"/>
      <c r="AA443" s="190"/>
      <c r="AB443" s="190"/>
      <c r="AC443" s="190"/>
    </row>
    <row r="444" spans="13:29" ht="15.5" x14ac:dyDescent="0.35">
      <c r="M444" s="329"/>
      <c r="N444" s="158"/>
      <c r="O444" s="158"/>
      <c r="P444" s="184"/>
      <c r="Q444" s="185"/>
      <c r="R444" s="186"/>
      <c r="S444" s="187"/>
      <c r="T444" s="330"/>
      <c r="U444" s="192"/>
      <c r="V444" s="192"/>
      <c r="W444" s="189"/>
      <c r="X444" s="189"/>
      <c r="Y444" s="190"/>
      <c r="Z444" s="193"/>
      <c r="AA444" s="190"/>
      <c r="AB444" s="190"/>
      <c r="AC444" s="190"/>
    </row>
    <row r="445" spans="13:29" ht="15.5" x14ac:dyDescent="0.35">
      <c r="M445" s="329"/>
      <c r="N445" s="158"/>
      <c r="O445" s="158"/>
      <c r="P445" s="168"/>
      <c r="Q445" s="194"/>
      <c r="R445" s="195"/>
      <c r="S445" s="195"/>
      <c r="T445" s="192"/>
      <c r="U445" s="192"/>
      <c r="V445" s="192"/>
      <c r="W445" s="192"/>
      <c r="X445" s="192"/>
      <c r="Y445" s="190"/>
      <c r="Z445" s="196"/>
      <c r="AA445" s="190"/>
      <c r="AB445" s="197"/>
      <c r="AC445" s="190"/>
    </row>
    <row r="446" spans="13:29" ht="15.5" x14ac:dyDescent="0.35">
      <c r="M446" s="329"/>
      <c r="N446" s="158"/>
      <c r="O446" s="158"/>
      <c r="P446" s="168"/>
      <c r="Q446" s="194"/>
      <c r="R446" s="195"/>
      <c r="S446" s="195"/>
      <c r="T446" s="192"/>
      <c r="U446" s="192"/>
      <c r="V446" s="192"/>
      <c r="W446" s="192"/>
      <c r="X446" s="189"/>
      <c r="Y446" s="190"/>
      <c r="Z446" s="196"/>
      <c r="AA446" s="190"/>
      <c r="AB446" s="190"/>
      <c r="AC446" s="190"/>
    </row>
    <row r="447" spans="13:29" ht="15.5" x14ac:dyDescent="0.35">
      <c r="M447" s="329"/>
      <c r="N447" s="158"/>
      <c r="O447" s="158"/>
      <c r="P447" s="184"/>
      <c r="Q447" s="185"/>
      <c r="R447" s="186"/>
      <c r="S447" s="187"/>
      <c r="T447" s="173"/>
      <c r="U447" s="192"/>
      <c r="V447" s="192"/>
      <c r="W447" s="189"/>
      <c r="X447" s="189"/>
      <c r="Y447" s="190"/>
      <c r="Z447" s="193"/>
      <c r="AA447" s="190"/>
      <c r="AB447" s="190"/>
      <c r="AC447" s="190"/>
    </row>
    <row r="448" spans="13:29" ht="15.5" x14ac:dyDescent="0.35">
      <c r="M448" s="329"/>
      <c r="N448" s="158"/>
      <c r="O448" s="158"/>
      <c r="P448" s="168"/>
      <c r="Q448" s="194"/>
      <c r="R448" s="195"/>
      <c r="S448" s="195"/>
      <c r="T448" s="342"/>
      <c r="U448" s="192"/>
      <c r="V448" s="192"/>
      <c r="W448" s="192"/>
      <c r="X448" s="192"/>
      <c r="Y448" s="190"/>
      <c r="Z448" s="196"/>
      <c r="AA448" s="190"/>
      <c r="AB448" s="197"/>
      <c r="AC448" s="190"/>
    </row>
    <row r="449" spans="13:29" ht="15.5" x14ac:dyDescent="0.35">
      <c r="M449" s="329"/>
      <c r="N449" s="158"/>
      <c r="O449" s="158"/>
      <c r="P449" s="168"/>
      <c r="Q449" s="194"/>
      <c r="R449" s="195"/>
      <c r="S449" s="195"/>
      <c r="T449" s="192"/>
      <c r="U449" s="192"/>
      <c r="V449" s="192"/>
      <c r="W449" s="192"/>
      <c r="X449" s="189"/>
      <c r="Y449" s="190"/>
      <c r="Z449" s="196"/>
      <c r="AA449" s="190"/>
      <c r="AB449" s="197"/>
      <c r="AC449" s="190"/>
    </row>
    <row r="450" spans="13:29" ht="15.5" x14ac:dyDescent="0.35">
      <c r="M450" s="329"/>
      <c r="N450" s="158"/>
      <c r="O450" s="158"/>
      <c r="P450" s="184"/>
      <c r="Q450" s="185"/>
      <c r="R450" s="186"/>
      <c r="S450" s="187"/>
      <c r="T450" s="330"/>
      <c r="U450" s="192"/>
      <c r="V450" s="192"/>
      <c r="W450" s="189"/>
      <c r="X450" s="189"/>
      <c r="Y450" s="190"/>
      <c r="Z450" s="193"/>
      <c r="AA450" s="190"/>
      <c r="AB450" s="190"/>
      <c r="AC450" s="190"/>
    </row>
    <row r="451" spans="13:29" ht="15.5" x14ac:dyDescent="0.35">
      <c r="M451" s="329"/>
      <c r="N451" s="158"/>
      <c r="O451" s="158"/>
      <c r="P451" s="184"/>
      <c r="Q451" s="185"/>
      <c r="R451" s="186"/>
      <c r="S451" s="187"/>
      <c r="T451" s="330"/>
      <c r="U451" s="192"/>
      <c r="V451" s="192"/>
      <c r="W451" s="189"/>
      <c r="X451" s="189"/>
      <c r="Y451" s="190"/>
      <c r="Z451" s="193"/>
      <c r="AA451" s="190"/>
      <c r="AB451" s="190"/>
      <c r="AC451" s="190"/>
    </row>
    <row r="452" spans="13:29" ht="15.5" x14ac:dyDescent="0.35">
      <c r="M452" s="329"/>
      <c r="N452" s="158"/>
      <c r="O452" s="158"/>
      <c r="P452" s="168"/>
      <c r="Q452" s="194"/>
      <c r="R452" s="195"/>
      <c r="S452" s="195"/>
      <c r="T452" s="192"/>
      <c r="U452" s="192"/>
      <c r="V452" s="192"/>
      <c r="W452" s="192"/>
      <c r="X452" s="189"/>
      <c r="Y452" s="190"/>
      <c r="Z452" s="196"/>
      <c r="AA452" s="190"/>
      <c r="AB452" s="197"/>
      <c r="AC452" s="190"/>
    </row>
    <row r="453" spans="13:29" ht="15.5" x14ac:dyDescent="0.35">
      <c r="M453" s="329"/>
      <c r="N453" s="158"/>
      <c r="O453" s="158"/>
      <c r="P453" s="168"/>
      <c r="Q453" s="194"/>
      <c r="R453" s="195"/>
      <c r="S453" s="195"/>
      <c r="T453" s="342"/>
      <c r="U453" s="192"/>
      <c r="V453" s="192"/>
      <c r="W453" s="192"/>
      <c r="X453" s="192"/>
      <c r="Y453" s="190"/>
      <c r="Z453" s="196"/>
      <c r="AA453" s="190"/>
      <c r="AB453" s="197"/>
      <c r="AC453" s="190"/>
    </row>
    <row r="454" spans="13:29" ht="15.5" x14ac:dyDescent="0.35">
      <c r="M454" s="329"/>
      <c r="N454" s="158"/>
      <c r="O454" s="158"/>
      <c r="P454" s="184"/>
      <c r="Q454" s="185"/>
      <c r="R454" s="186"/>
      <c r="S454" s="187"/>
      <c r="T454" s="330"/>
      <c r="U454" s="192"/>
      <c r="V454" s="192"/>
      <c r="W454" s="189"/>
      <c r="X454" s="189"/>
      <c r="Y454" s="190"/>
      <c r="Z454" s="193"/>
      <c r="AA454" s="190"/>
      <c r="AB454" s="190"/>
      <c r="AC454" s="190"/>
    </row>
    <row r="455" spans="13:29" ht="15.5" x14ac:dyDescent="0.35">
      <c r="M455" s="329"/>
      <c r="N455" s="158"/>
      <c r="O455" s="158"/>
      <c r="P455" s="184"/>
      <c r="Q455" s="185"/>
      <c r="R455" s="186"/>
      <c r="S455" s="187"/>
      <c r="T455" s="173"/>
      <c r="U455" s="192"/>
      <c r="V455" s="192"/>
      <c r="W455" s="189"/>
      <c r="X455" s="189"/>
      <c r="Y455" s="190"/>
      <c r="Z455" s="193"/>
      <c r="AA455" s="190"/>
      <c r="AB455" s="190"/>
      <c r="AC455" s="190"/>
    </row>
    <row r="456" spans="13:29" ht="15.5" x14ac:dyDescent="0.35">
      <c r="M456" s="329"/>
      <c r="N456" s="158"/>
      <c r="O456" s="158"/>
      <c r="P456" s="184"/>
      <c r="Q456" s="185"/>
      <c r="R456" s="186"/>
      <c r="S456" s="187"/>
      <c r="T456" s="330"/>
      <c r="U456" s="192"/>
      <c r="V456" s="192"/>
      <c r="W456" s="189"/>
      <c r="X456" s="189"/>
      <c r="Y456" s="190"/>
      <c r="Z456" s="193"/>
      <c r="AA456" s="190"/>
      <c r="AB456" s="190"/>
      <c r="AC456" s="190"/>
    </row>
    <row r="457" spans="13:29" ht="15.5" x14ac:dyDescent="0.35">
      <c r="M457" s="329"/>
      <c r="N457" s="198"/>
      <c r="O457" s="158"/>
      <c r="P457" s="184"/>
      <c r="Q457" s="185"/>
      <c r="R457" s="186"/>
      <c r="S457" s="187"/>
      <c r="T457" s="330"/>
      <c r="U457" s="192"/>
      <c r="V457" s="192"/>
      <c r="W457" s="189"/>
      <c r="X457" s="192"/>
      <c r="Y457" s="190"/>
      <c r="Z457" s="193"/>
      <c r="AA457" s="190"/>
      <c r="AB457" s="190"/>
      <c r="AC457" s="190"/>
    </row>
    <row r="458" spans="13:29" ht="15.5" x14ac:dyDescent="0.35">
      <c r="M458" s="329"/>
      <c r="N458" s="158"/>
      <c r="O458" s="158"/>
      <c r="P458" s="168"/>
      <c r="Q458" s="194"/>
      <c r="R458" s="195"/>
      <c r="S458" s="195"/>
      <c r="T458" s="192"/>
      <c r="U458" s="192"/>
      <c r="V458" s="192"/>
      <c r="W458" s="192"/>
      <c r="X458" s="192"/>
      <c r="Y458" s="190"/>
      <c r="Z458" s="196"/>
      <c r="AA458" s="190"/>
      <c r="AB458" s="197"/>
      <c r="AC458" s="190"/>
    </row>
    <row r="459" spans="13:29" ht="15.5" x14ac:dyDescent="0.35">
      <c r="M459" s="329"/>
      <c r="N459" s="158"/>
      <c r="O459" s="158"/>
      <c r="P459" s="168"/>
      <c r="Q459" s="194"/>
      <c r="R459" s="195"/>
      <c r="S459" s="195"/>
      <c r="T459" s="192"/>
      <c r="U459" s="192"/>
      <c r="V459" s="192"/>
      <c r="W459" s="192"/>
      <c r="X459" s="192"/>
      <c r="Y459" s="190"/>
      <c r="Z459" s="196"/>
      <c r="AA459" s="190"/>
      <c r="AB459" s="197"/>
      <c r="AC459" s="190"/>
    </row>
    <row r="460" spans="13:29" ht="15.5" x14ac:dyDescent="0.35">
      <c r="M460" s="329"/>
      <c r="N460" s="158"/>
      <c r="O460" s="158"/>
      <c r="P460" s="168"/>
      <c r="Q460" s="194"/>
      <c r="R460" s="195"/>
      <c r="S460" s="195"/>
      <c r="T460" s="192"/>
      <c r="U460" s="192"/>
      <c r="V460" s="192"/>
      <c r="W460" s="192"/>
      <c r="X460" s="192"/>
      <c r="Y460" s="190"/>
      <c r="Z460" s="196"/>
      <c r="AA460" s="190"/>
      <c r="AB460" s="197"/>
      <c r="AC460" s="190"/>
    </row>
    <row r="461" spans="13:29" ht="15.5" x14ac:dyDescent="0.35">
      <c r="M461" s="329"/>
      <c r="N461" s="158"/>
      <c r="O461" s="158"/>
      <c r="P461" s="168"/>
      <c r="Q461" s="194"/>
      <c r="R461" s="195"/>
      <c r="S461" s="195"/>
      <c r="T461" s="192"/>
      <c r="U461" s="192"/>
      <c r="V461" s="192"/>
      <c r="W461" s="192"/>
      <c r="X461" s="189"/>
      <c r="Y461" s="190"/>
      <c r="Z461" s="196"/>
      <c r="AA461" s="190"/>
      <c r="AB461" s="197"/>
      <c r="AC461" s="190"/>
    </row>
    <row r="462" spans="13:29" ht="15.5" x14ac:dyDescent="0.35">
      <c r="M462" s="329"/>
      <c r="N462" s="158"/>
      <c r="O462" s="158"/>
      <c r="P462" s="168"/>
      <c r="Q462" s="194"/>
      <c r="R462" s="195"/>
      <c r="S462" s="195"/>
      <c r="T462" s="342"/>
      <c r="U462" s="192"/>
      <c r="V462" s="192"/>
      <c r="W462" s="192"/>
      <c r="X462" s="192"/>
      <c r="Y462" s="190"/>
      <c r="Z462" s="196"/>
      <c r="AA462" s="190"/>
      <c r="AB462" s="197"/>
      <c r="AC462" s="190"/>
    </row>
    <row r="463" spans="13:29" ht="15.5" x14ac:dyDescent="0.35">
      <c r="M463" s="329"/>
      <c r="N463" s="158"/>
      <c r="O463" s="158"/>
      <c r="P463" s="184"/>
      <c r="Q463" s="185"/>
      <c r="R463" s="186"/>
      <c r="S463" s="187"/>
      <c r="T463" s="173"/>
      <c r="U463" s="192"/>
      <c r="V463" s="192"/>
      <c r="W463" s="189"/>
      <c r="X463" s="189"/>
      <c r="Y463" s="190"/>
      <c r="Z463" s="193"/>
      <c r="AA463" s="190"/>
      <c r="AB463" s="190"/>
      <c r="AC463" s="190"/>
    </row>
    <row r="464" spans="13:29" ht="15.5" x14ac:dyDescent="0.35">
      <c r="M464" s="329"/>
      <c r="N464" s="158"/>
      <c r="O464" s="158"/>
      <c r="P464" s="168"/>
      <c r="Q464" s="194"/>
      <c r="R464" s="195"/>
      <c r="S464" s="195"/>
      <c r="T464" s="192"/>
      <c r="U464" s="192"/>
      <c r="V464" s="192"/>
      <c r="W464" s="192"/>
      <c r="X464" s="192"/>
      <c r="Y464" s="190"/>
      <c r="Z464" s="196"/>
      <c r="AA464" s="190"/>
      <c r="AB464" s="197"/>
      <c r="AC464" s="190"/>
    </row>
    <row r="465" spans="13:29" ht="15.5" x14ac:dyDescent="0.35">
      <c r="M465" s="329"/>
      <c r="N465" s="158"/>
      <c r="O465" s="158"/>
      <c r="P465" s="184"/>
      <c r="Q465" s="185"/>
      <c r="R465" s="186"/>
      <c r="S465" s="187"/>
      <c r="T465" s="173"/>
      <c r="U465" s="192"/>
      <c r="V465" s="192"/>
      <c r="W465" s="189"/>
      <c r="X465" s="189"/>
      <c r="Y465" s="190"/>
      <c r="Z465" s="193"/>
      <c r="AA465" s="190"/>
      <c r="AB465" s="190"/>
      <c r="AC465" s="190"/>
    </row>
    <row r="466" spans="13:29" ht="15.5" x14ac:dyDescent="0.35">
      <c r="M466" s="329"/>
      <c r="N466" s="158"/>
      <c r="O466" s="158"/>
      <c r="P466" s="168"/>
      <c r="Q466" s="194"/>
      <c r="R466" s="195"/>
      <c r="S466" s="195"/>
      <c r="T466" s="192"/>
      <c r="U466" s="192"/>
      <c r="V466" s="192"/>
      <c r="W466" s="192"/>
      <c r="X466" s="192"/>
      <c r="Y466" s="190"/>
      <c r="Z466" s="196"/>
      <c r="AA466" s="190"/>
      <c r="AB466" s="197"/>
      <c r="AC466" s="190"/>
    </row>
    <row r="467" spans="13:29" ht="15.5" x14ac:dyDescent="0.35">
      <c r="M467" s="329"/>
      <c r="N467" s="158"/>
      <c r="O467" s="158"/>
      <c r="P467" s="168"/>
      <c r="Q467" s="194"/>
      <c r="R467" s="195"/>
      <c r="S467" s="195"/>
      <c r="T467" s="342"/>
      <c r="U467" s="192"/>
      <c r="V467" s="192"/>
      <c r="W467" s="192"/>
      <c r="X467" s="192"/>
      <c r="Y467" s="190"/>
      <c r="Z467" s="196"/>
      <c r="AA467" s="190"/>
      <c r="AB467" s="197"/>
      <c r="AC467" s="190"/>
    </row>
    <row r="468" spans="13:29" ht="15.5" x14ac:dyDescent="0.35">
      <c r="M468" s="329"/>
      <c r="N468" s="158"/>
      <c r="O468" s="158"/>
      <c r="P468" s="168"/>
      <c r="Q468" s="194"/>
      <c r="R468" s="195"/>
      <c r="S468" s="195"/>
      <c r="T468" s="192"/>
      <c r="U468" s="192"/>
      <c r="V468" s="192"/>
      <c r="W468" s="192"/>
      <c r="X468" s="192"/>
      <c r="Y468" s="190"/>
      <c r="Z468" s="196"/>
      <c r="AA468" s="190"/>
      <c r="AB468" s="197"/>
      <c r="AC468" s="190"/>
    </row>
    <row r="469" spans="13:29" ht="15.5" x14ac:dyDescent="0.35">
      <c r="M469" s="329"/>
      <c r="N469" s="158"/>
      <c r="O469" s="158"/>
      <c r="P469" s="168"/>
      <c r="Q469" s="194"/>
      <c r="R469" s="195"/>
      <c r="S469" s="195"/>
      <c r="T469" s="342"/>
      <c r="U469" s="192"/>
      <c r="V469" s="192"/>
      <c r="W469" s="192"/>
      <c r="X469" s="192"/>
      <c r="Y469" s="190"/>
      <c r="Z469" s="196"/>
      <c r="AA469" s="190"/>
      <c r="AB469" s="197"/>
      <c r="AC469" s="190"/>
    </row>
    <row r="470" spans="13:29" ht="15.5" x14ac:dyDescent="0.35">
      <c r="M470" s="329"/>
      <c r="N470" s="158"/>
      <c r="O470" s="158"/>
      <c r="P470" s="168"/>
      <c r="Q470" s="194"/>
      <c r="R470" s="195"/>
      <c r="S470" s="195"/>
      <c r="T470" s="342"/>
      <c r="U470" s="192"/>
      <c r="V470" s="192"/>
      <c r="W470" s="192"/>
      <c r="X470" s="189"/>
      <c r="Y470" s="190"/>
      <c r="Z470" s="196"/>
      <c r="AA470" s="190"/>
      <c r="AB470" s="197"/>
      <c r="AC470" s="190"/>
    </row>
    <row r="471" spans="13:29" ht="15.5" x14ac:dyDescent="0.35">
      <c r="M471" s="329"/>
      <c r="N471" s="158"/>
      <c r="O471" s="158"/>
      <c r="P471" s="168"/>
      <c r="Q471" s="194"/>
      <c r="R471" s="195"/>
      <c r="S471" s="195"/>
      <c r="T471" s="192"/>
      <c r="U471" s="192"/>
      <c r="V471" s="192"/>
      <c r="W471" s="192"/>
      <c r="X471" s="192"/>
      <c r="Y471" s="190"/>
      <c r="Z471" s="196"/>
      <c r="AA471" s="190"/>
      <c r="AB471" s="197"/>
      <c r="AC471" s="190"/>
    </row>
    <row r="472" spans="13:29" ht="15.5" x14ac:dyDescent="0.35">
      <c r="M472" s="329"/>
      <c r="N472" s="158"/>
      <c r="O472" s="158"/>
      <c r="P472" s="184"/>
      <c r="Q472" s="185"/>
      <c r="R472" s="186"/>
      <c r="S472" s="187"/>
      <c r="T472" s="330"/>
      <c r="U472" s="192"/>
      <c r="V472" s="192"/>
      <c r="W472" s="189"/>
      <c r="X472" s="189"/>
      <c r="Y472" s="190"/>
      <c r="Z472" s="193"/>
      <c r="AA472" s="190"/>
      <c r="AB472" s="190"/>
      <c r="AC472" s="190"/>
    </row>
    <row r="473" spans="13:29" ht="15.5" x14ac:dyDescent="0.35">
      <c r="M473" s="329"/>
      <c r="N473" s="158"/>
      <c r="O473" s="158"/>
      <c r="P473" s="168"/>
      <c r="Q473" s="194"/>
      <c r="R473" s="195"/>
      <c r="S473" s="195"/>
      <c r="T473" s="342"/>
      <c r="U473" s="192"/>
      <c r="V473" s="192"/>
      <c r="W473" s="192"/>
      <c r="X473" s="192"/>
      <c r="Y473" s="190"/>
      <c r="Z473" s="196"/>
      <c r="AA473" s="190"/>
      <c r="AB473" s="197"/>
      <c r="AC473" s="190"/>
    </row>
    <row r="474" spans="13:29" ht="15.5" x14ac:dyDescent="0.35">
      <c r="M474" s="329"/>
      <c r="N474" s="158"/>
      <c r="O474" s="158"/>
      <c r="P474" s="168"/>
      <c r="Q474" s="194"/>
      <c r="R474" s="195"/>
      <c r="S474" s="195"/>
      <c r="T474" s="342"/>
      <c r="U474" s="192"/>
      <c r="V474" s="192"/>
      <c r="W474" s="192"/>
      <c r="X474" s="192"/>
      <c r="Y474" s="190"/>
      <c r="Z474" s="196"/>
      <c r="AA474" s="190"/>
      <c r="AB474" s="197"/>
      <c r="AC474" s="190"/>
    </row>
    <row r="475" spans="13:29" ht="15.5" x14ac:dyDescent="0.35">
      <c r="M475" s="329"/>
      <c r="N475" s="158"/>
      <c r="O475" s="158"/>
      <c r="P475" s="168"/>
      <c r="Q475" s="194"/>
      <c r="R475" s="195"/>
      <c r="S475" s="195"/>
      <c r="T475" s="342"/>
      <c r="U475" s="192"/>
      <c r="V475" s="192"/>
      <c r="W475" s="192"/>
      <c r="X475" s="192"/>
      <c r="Y475" s="190"/>
      <c r="Z475" s="196"/>
      <c r="AA475" s="190"/>
      <c r="AB475" s="197"/>
      <c r="AC475" s="190"/>
    </row>
    <row r="476" spans="13:29" ht="15.5" x14ac:dyDescent="0.35">
      <c r="M476" s="329"/>
      <c r="N476" s="158"/>
      <c r="O476" s="158"/>
      <c r="P476" s="168"/>
      <c r="Q476" s="194"/>
      <c r="R476" s="195"/>
      <c r="S476" s="195"/>
      <c r="T476" s="192"/>
      <c r="U476" s="192"/>
      <c r="V476" s="192"/>
      <c r="W476" s="192"/>
      <c r="X476" s="192"/>
      <c r="Y476" s="190"/>
      <c r="Z476" s="196"/>
      <c r="AA476" s="190"/>
      <c r="AB476" s="197"/>
      <c r="AC476" s="190"/>
    </row>
    <row r="477" spans="13:29" ht="15.5" x14ac:dyDescent="0.35">
      <c r="M477" s="329"/>
      <c r="N477" s="158"/>
      <c r="O477" s="158"/>
      <c r="P477" s="184"/>
      <c r="Q477" s="185"/>
      <c r="R477" s="186"/>
      <c r="S477" s="187"/>
      <c r="T477" s="188"/>
      <c r="U477" s="188"/>
      <c r="V477" s="188"/>
      <c r="W477" s="189"/>
      <c r="X477" s="189"/>
      <c r="Y477" s="190"/>
      <c r="Z477" s="191"/>
      <c r="AA477" s="190"/>
      <c r="AB477" s="204"/>
      <c r="AC477" s="190"/>
    </row>
    <row r="478" spans="13:29" ht="15.5" x14ac:dyDescent="0.35">
      <c r="M478" s="329"/>
      <c r="N478" s="158"/>
      <c r="O478" s="158"/>
      <c r="P478" s="168"/>
      <c r="Q478" s="194"/>
      <c r="R478" s="195"/>
      <c r="S478" s="195"/>
      <c r="T478" s="342"/>
      <c r="U478" s="192"/>
      <c r="V478" s="192"/>
      <c r="W478" s="192"/>
      <c r="X478" s="192"/>
      <c r="Y478" s="190"/>
      <c r="Z478" s="196"/>
      <c r="AA478" s="190"/>
      <c r="AB478" s="197"/>
      <c r="AC478" s="190"/>
    </row>
    <row r="479" spans="13:29" ht="15.5" x14ac:dyDescent="0.35">
      <c r="M479" s="329"/>
      <c r="N479" s="158"/>
      <c r="O479" s="158"/>
      <c r="P479" s="168"/>
      <c r="Q479" s="194"/>
      <c r="R479" s="195"/>
      <c r="S479" s="195"/>
      <c r="T479" s="192"/>
      <c r="U479" s="192"/>
      <c r="V479" s="192"/>
      <c r="W479" s="192"/>
      <c r="X479" s="192"/>
      <c r="Y479" s="190"/>
      <c r="Z479" s="196"/>
      <c r="AA479" s="190"/>
      <c r="AB479" s="197"/>
      <c r="AC479" s="190"/>
    </row>
    <row r="480" spans="13:29" ht="15.5" x14ac:dyDescent="0.35">
      <c r="M480" s="329"/>
      <c r="N480" s="158"/>
      <c r="O480" s="158"/>
      <c r="P480" s="184"/>
      <c r="Q480" s="185"/>
      <c r="R480" s="186"/>
      <c r="S480" s="187"/>
      <c r="T480" s="188"/>
      <c r="U480" s="188"/>
      <c r="V480" s="188"/>
      <c r="W480" s="189"/>
      <c r="X480" s="189"/>
      <c r="Y480" s="190"/>
      <c r="Z480" s="191"/>
      <c r="AA480" s="190"/>
      <c r="AB480" s="204"/>
      <c r="AC480" s="190"/>
    </row>
    <row r="481" spans="13:29" ht="15.5" x14ac:dyDescent="0.35">
      <c r="M481" s="329"/>
      <c r="N481" s="158"/>
      <c r="O481" s="158"/>
      <c r="P481" s="168"/>
      <c r="Q481" s="194"/>
      <c r="R481" s="195"/>
      <c r="S481" s="195"/>
      <c r="T481" s="192"/>
      <c r="U481" s="192"/>
      <c r="V481" s="192"/>
      <c r="W481" s="192"/>
      <c r="X481" s="192"/>
      <c r="Y481" s="190"/>
      <c r="Z481" s="196"/>
      <c r="AA481" s="190"/>
      <c r="AB481" s="197"/>
      <c r="AC481" s="190"/>
    </row>
    <row r="482" spans="13:29" ht="15.5" x14ac:dyDescent="0.35">
      <c r="M482" s="329"/>
      <c r="N482" s="158"/>
      <c r="O482" s="158"/>
      <c r="P482" s="168"/>
      <c r="Q482" s="194"/>
      <c r="R482" s="195"/>
      <c r="S482" s="195"/>
      <c r="T482" s="192"/>
      <c r="U482" s="192"/>
      <c r="V482" s="192"/>
      <c r="W482" s="192"/>
      <c r="X482" s="192"/>
      <c r="Y482" s="190"/>
      <c r="Z482" s="196"/>
      <c r="AA482" s="190"/>
      <c r="AB482" s="197"/>
      <c r="AC482" s="190"/>
    </row>
    <row r="483" spans="13:29" ht="15.5" x14ac:dyDescent="0.35">
      <c r="M483" s="329"/>
      <c r="N483" s="158"/>
      <c r="O483" s="158"/>
      <c r="P483" s="168"/>
      <c r="Q483" s="194"/>
      <c r="R483" s="195"/>
      <c r="S483" s="195"/>
      <c r="T483" s="342"/>
      <c r="U483" s="192"/>
      <c r="V483" s="192"/>
      <c r="W483" s="192"/>
      <c r="X483" s="192"/>
      <c r="Y483" s="190"/>
      <c r="Z483" s="196"/>
      <c r="AA483" s="190"/>
      <c r="AB483" s="197"/>
      <c r="AC483" s="190"/>
    </row>
    <row r="484" spans="13:29" ht="15.5" x14ac:dyDescent="0.35">
      <c r="M484" s="329"/>
      <c r="N484" s="158"/>
      <c r="O484" s="158"/>
      <c r="P484" s="168"/>
      <c r="Q484" s="194"/>
      <c r="R484" s="195"/>
      <c r="S484" s="195"/>
      <c r="T484" s="192"/>
      <c r="U484" s="192"/>
      <c r="V484" s="192"/>
      <c r="W484" s="192"/>
      <c r="X484" s="192"/>
      <c r="Y484" s="190"/>
      <c r="Z484" s="196"/>
      <c r="AA484" s="190"/>
      <c r="AB484" s="197"/>
      <c r="AC484" s="190"/>
    </row>
    <row r="485" spans="13:29" ht="15.5" x14ac:dyDescent="0.35">
      <c r="M485" s="329"/>
      <c r="N485" s="158"/>
      <c r="O485" s="158"/>
      <c r="P485" s="184"/>
      <c r="Q485" s="185"/>
      <c r="R485" s="186"/>
      <c r="S485" s="187"/>
      <c r="T485" s="330"/>
      <c r="U485" s="192"/>
      <c r="V485" s="192"/>
      <c r="W485" s="189"/>
      <c r="X485" s="189"/>
      <c r="Y485" s="190"/>
      <c r="Z485" s="193"/>
      <c r="AA485" s="190"/>
      <c r="AB485" s="190"/>
      <c r="AC485" s="190"/>
    </row>
    <row r="486" spans="13:29" ht="15.5" x14ac:dyDescent="0.35">
      <c r="M486" s="329"/>
      <c r="N486" s="158"/>
      <c r="O486" s="158"/>
      <c r="P486" s="184"/>
      <c r="Q486" s="185"/>
      <c r="R486" s="186"/>
      <c r="S486" s="187"/>
      <c r="T486" s="330"/>
      <c r="U486" s="192"/>
      <c r="V486" s="192"/>
      <c r="W486" s="189"/>
      <c r="X486" s="189"/>
      <c r="Y486" s="190"/>
      <c r="Z486" s="193"/>
      <c r="AA486" s="190"/>
      <c r="AB486" s="190"/>
      <c r="AC486" s="190"/>
    </row>
    <row r="487" spans="13:29" ht="15.5" x14ac:dyDescent="0.35">
      <c r="M487" s="329"/>
      <c r="N487" s="158"/>
      <c r="O487" s="158"/>
      <c r="P487" s="168"/>
      <c r="Q487" s="194"/>
      <c r="R487" s="195"/>
      <c r="S487" s="195"/>
      <c r="T487" s="342"/>
      <c r="U487" s="192"/>
      <c r="V487" s="192"/>
      <c r="W487" s="192"/>
      <c r="X487" s="189"/>
      <c r="Y487" s="190"/>
      <c r="Z487" s="196"/>
      <c r="AA487" s="190"/>
      <c r="AB487" s="197"/>
      <c r="AC487" s="190"/>
    </row>
    <row r="488" spans="13:29" ht="15.5" x14ac:dyDescent="0.35">
      <c r="M488" s="329"/>
      <c r="N488" s="158"/>
      <c r="O488" s="158"/>
      <c r="P488" s="184"/>
      <c r="Q488" s="185"/>
      <c r="R488" s="186"/>
      <c r="S488" s="187"/>
      <c r="T488" s="188"/>
      <c r="U488" s="188"/>
      <c r="V488" s="188"/>
      <c r="W488" s="189"/>
      <c r="X488" s="189"/>
      <c r="Y488" s="190"/>
      <c r="Z488" s="191"/>
      <c r="AA488" s="190"/>
      <c r="AB488" s="204"/>
      <c r="AC488" s="190"/>
    </row>
    <row r="489" spans="13:29" ht="15.5" x14ac:dyDescent="0.35">
      <c r="M489" s="329"/>
      <c r="N489" s="158"/>
      <c r="O489" s="158"/>
      <c r="P489" s="168"/>
      <c r="Q489" s="194"/>
      <c r="R489" s="195"/>
      <c r="S489" s="195"/>
      <c r="T489" s="342"/>
      <c r="U489" s="192"/>
      <c r="V489" s="192"/>
      <c r="W489" s="192"/>
      <c r="X489" s="189"/>
      <c r="Y489" s="190"/>
      <c r="Z489" s="196"/>
      <c r="AA489" s="190"/>
      <c r="AB489" s="197"/>
      <c r="AC489" s="190"/>
    </row>
    <row r="490" spans="13:29" ht="15.5" x14ac:dyDescent="0.35">
      <c r="M490" s="329"/>
      <c r="N490" s="158"/>
      <c r="O490" s="158"/>
      <c r="P490" s="168"/>
      <c r="Q490" s="194"/>
      <c r="R490" s="195"/>
      <c r="S490" s="195"/>
      <c r="T490" s="192"/>
      <c r="U490" s="192"/>
      <c r="V490" s="192"/>
      <c r="W490" s="192"/>
      <c r="X490" s="192"/>
      <c r="Y490" s="190"/>
      <c r="Z490" s="196"/>
      <c r="AA490" s="190"/>
      <c r="AB490" s="197"/>
      <c r="AC490" s="190"/>
    </row>
    <row r="491" spans="13:29" ht="15.5" x14ac:dyDescent="0.35">
      <c r="M491" s="329"/>
      <c r="N491" s="158"/>
      <c r="O491" s="158"/>
      <c r="P491" s="168"/>
      <c r="Q491" s="194"/>
      <c r="R491" s="195"/>
      <c r="S491" s="195"/>
      <c r="T491" s="342"/>
      <c r="U491" s="192"/>
      <c r="V491" s="192"/>
      <c r="W491" s="192"/>
      <c r="X491" s="192"/>
      <c r="Y491" s="190"/>
      <c r="Z491" s="196"/>
      <c r="AA491" s="190"/>
      <c r="AB491" s="197"/>
      <c r="AC491" s="190"/>
    </row>
    <row r="492" spans="13:29" ht="15.5" x14ac:dyDescent="0.35">
      <c r="M492" s="329"/>
      <c r="N492" s="158"/>
      <c r="O492" s="158"/>
      <c r="P492" s="168"/>
      <c r="Q492" s="194"/>
      <c r="R492" s="195"/>
      <c r="S492" s="195"/>
      <c r="T492" s="342"/>
      <c r="U492" s="192"/>
      <c r="V492" s="192"/>
      <c r="W492" s="192"/>
      <c r="X492" s="192"/>
      <c r="Y492" s="190"/>
      <c r="Z492" s="196"/>
      <c r="AA492" s="190"/>
      <c r="AB492" s="197"/>
      <c r="AC492" s="190"/>
    </row>
    <row r="493" spans="13:29" ht="15.5" x14ac:dyDescent="0.35">
      <c r="M493" s="329"/>
      <c r="N493" s="158"/>
      <c r="O493" s="158"/>
      <c r="P493" s="168"/>
      <c r="Q493" s="194"/>
      <c r="R493" s="195"/>
      <c r="S493" s="195"/>
      <c r="T493" s="192"/>
      <c r="U493" s="192"/>
      <c r="V493" s="192"/>
      <c r="W493" s="192"/>
      <c r="X493" s="192"/>
      <c r="Y493" s="190"/>
      <c r="Z493" s="196"/>
      <c r="AA493" s="190"/>
      <c r="AB493" s="197"/>
      <c r="AC493" s="190"/>
    </row>
    <row r="494" spans="13:29" ht="15.5" x14ac:dyDescent="0.35">
      <c r="M494" s="329"/>
      <c r="N494" s="158"/>
      <c r="O494" s="158"/>
      <c r="P494" s="168"/>
      <c r="Q494" s="194"/>
      <c r="R494" s="195"/>
      <c r="S494" s="195"/>
      <c r="T494" s="192"/>
      <c r="U494" s="192"/>
      <c r="V494" s="192"/>
      <c r="W494" s="192"/>
      <c r="X494" s="192"/>
      <c r="Y494" s="190"/>
      <c r="Z494" s="196"/>
      <c r="AA494" s="190"/>
      <c r="AB494" s="197"/>
      <c r="AC494" s="190"/>
    </row>
    <row r="495" spans="13:29" ht="15.5" x14ac:dyDescent="0.35">
      <c r="M495" s="329"/>
      <c r="N495" s="158"/>
      <c r="O495" s="158"/>
      <c r="P495" s="184"/>
      <c r="Q495" s="185"/>
      <c r="R495" s="186"/>
      <c r="S495" s="187"/>
      <c r="T495" s="173"/>
      <c r="U495" s="192"/>
      <c r="V495" s="192"/>
      <c r="W495" s="189"/>
      <c r="X495" s="189"/>
      <c r="Y495" s="190"/>
      <c r="Z495" s="193"/>
      <c r="AA495" s="190"/>
      <c r="AB495" s="190"/>
      <c r="AC495" s="190"/>
    </row>
    <row r="496" spans="13:29" ht="15.5" x14ac:dyDescent="0.35">
      <c r="M496" s="329"/>
      <c r="N496" s="158"/>
      <c r="O496" s="158"/>
      <c r="P496" s="184"/>
      <c r="Q496" s="185"/>
      <c r="R496" s="186"/>
      <c r="S496" s="187"/>
      <c r="T496" s="173"/>
      <c r="U496" s="192"/>
      <c r="V496" s="192"/>
      <c r="W496" s="189"/>
      <c r="X496" s="189"/>
      <c r="Y496" s="190"/>
      <c r="Z496" s="193"/>
      <c r="AA496" s="190"/>
      <c r="AB496" s="190"/>
      <c r="AC496" s="190"/>
    </row>
    <row r="497" spans="13:29" ht="15.5" x14ac:dyDescent="0.35">
      <c r="M497" s="329"/>
      <c r="N497" s="158"/>
      <c r="O497" s="158"/>
      <c r="P497" s="168"/>
      <c r="Q497" s="194"/>
      <c r="R497" s="195"/>
      <c r="S497" s="195"/>
      <c r="T497" s="192"/>
      <c r="U497" s="192"/>
      <c r="V497" s="192"/>
      <c r="W497" s="192"/>
      <c r="X497" s="189"/>
      <c r="Y497" s="190"/>
      <c r="Z497" s="196"/>
      <c r="AA497" s="190"/>
      <c r="AB497" s="197"/>
      <c r="AC497" s="190"/>
    </row>
    <row r="498" spans="13:29" ht="15.5" x14ac:dyDescent="0.35">
      <c r="M498" s="329"/>
      <c r="N498" s="158"/>
      <c r="O498" s="158"/>
      <c r="P498" s="168"/>
      <c r="Q498" s="194"/>
      <c r="R498" s="195"/>
      <c r="S498" s="195"/>
      <c r="T498" s="192"/>
      <c r="U498" s="192"/>
      <c r="V498" s="192"/>
      <c r="W498" s="192"/>
      <c r="X498" s="189"/>
      <c r="Y498" s="190"/>
      <c r="Z498" s="196"/>
      <c r="AA498" s="190"/>
      <c r="AB498" s="197"/>
      <c r="AC498" s="190"/>
    </row>
    <row r="499" spans="13:29" ht="15.5" x14ac:dyDescent="0.35">
      <c r="M499" s="329"/>
      <c r="N499" s="158"/>
      <c r="O499" s="158"/>
      <c r="P499" s="184"/>
      <c r="Q499" s="185"/>
      <c r="R499" s="186"/>
      <c r="S499" s="187"/>
      <c r="T499" s="330"/>
      <c r="U499" s="192"/>
      <c r="V499" s="192"/>
      <c r="W499" s="189"/>
      <c r="X499" s="189"/>
      <c r="Y499" s="190"/>
      <c r="Z499" s="193"/>
      <c r="AA499" s="190"/>
      <c r="AB499" s="190"/>
      <c r="AC499" s="190"/>
    </row>
    <row r="500" spans="13:29" ht="15.5" x14ac:dyDescent="0.35">
      <c r="M500" s="329"/>
      <c r="N500" s="158"/>
      <c r="O500" s="158"/>
      <c r="P500" s="168"/>
      <c r="Q500" s="194"/>
      <c r="R500" s="195"/>
      <c r="S500" s="195"/>
      <c r="T500" s="342"/>
      <c r="U500" s="192"/>
      <c r="V500" s="192"/>
      <c r="W500" s="192"/>
      <c r="X500" s="192"/>
      <c r="Y500" s="190"/>
      <c r="Z500" s="196"/>
      <c r="AA500" s="190"/>
      <c r="AB500" s="197"/>
      <c r="AC500" s="190"/>
    </row>
    <row r="501" spans="13:29" ht="15.5" x14ac:dyDescent="0.35">
      <c r="M501" s="329"/>
      <c r="N501" s="158"/>
      <c r="O501" s="158"/>
      <c r="P501" s="168"/>
      <c r="Q501" s="194"/>
      <c r="R501" s="195"/>
      <c r="S501" s="195"/>
      <c r="T501" s="342"/>
      <c r="U501" s="192"/>
      <c r="V501" s="192"/>
      <c r="W501" s="192"/>
      <c r="X501" s="192"/>
      <c r="Y501" s="190"/>
      <c r="Z501" s="196"/>
      <c r="AA501" s="190"/>
      <c r="AB501" s="197"/>
      <c r="AC501" s="190"/>
    </row>
    <row r="502" spans="13:29" ht="15.5" x14ac:dyDescent="0.35">
      <c r="M502" s="329"/>
      <c r="N502" s="158"/>
      <c r="O502" s="158"/>
      <c r="P502" s="184"/>
      <c r="Q502" s="185"/>
      <c r="R502" s="186"/>
      <c r="S502" s="187"/>
      <c r="T502" s="330"/>
      <c r="U502" s="192"/>
      <c r="V502" s="192"/>
      <c r="W502" s="189"/>
      <c r="X502" s="189"/>
      <c r="Y502" s="190"/>
      <c r="Z502" s="193"/>
      <c r="AA502" s="190"/>
      <c r="AB502" s="190"/>
      <c r="AC502" s="190"/>
    </row>
    <row r="503" spans="13:29" ht="15.5" x14ac:dyDescent="0.35">
      <c r="M503" s="329"/>
      <c r="N503" s="158"/>
      <c r="O503" s="158"/>
      <c r="P503" s="184"/>
      <c r="Q503" s="185"/>
      <c r="R503" s="186"/>
      <c r="S503" s="187"/>
      <c r="T503" s="173"/>
      <c r="U503" s="192"/>
      <c r="V503" s="192"/>
      <c r="W503" s="189"/>
      <c r="X503" s="189"/>
      <c r="Y503" s="190"/>
      <c r="Z503" s="193"/>
      <c r="AA503" s="190"/>
      <c r="AB503" s="190"/>
      <c r="AC503" s="190"/>
    </row>
    <row r="504" spans="13:29" ht="15.5" x14ac:dyDescent="0.35">
      <c r="M504" s="329"/>
      <c r="N504" s="158"/>
      <c r="O504" s="158"/>
      <c r="P504" s="168"/>
      <c r="Q504" s="194"/>
      <c r="R504" s="195"/>
      <c r="S504" s="195"/>
      <c r="T504" s="192"/>
      <c r="U504" s="192"/>
      <c r="V504" s="192"/>
      <c r="W504" s="192"/>
      <c r="X504" s="189"/>
      <c r="Y504" s="190"/>
      <c r="Z504" s="196"/>
      <c r="AA504" s="190"/>
      <c r="AB504" s="197"/>
      <c r="AC504" s="190"/>
    </row>
    <row r="505" spans="13:29" ht="15.5" x14ac:dyDescent="0.35">
      <c r="M505" s="329"/>
      <c r="N505" s="158"/>
      <c r="O505" s="158"/>
      <c r="P505" s="168"/>
      <c r="Q505" s="194"/>
      <c r="R505" s="195"/>
      <c r="S505" s="195"/>
      <c r="T505" s="342"/>
      <c r="U505" s="192"/>
      <c r="V505" s="192"/>
      <c r="W505" s="192"/>
      <c r="X505" s="192"/>
      <c r="Y505" s="190"/>
      <c r="Z505" s="196"/>
      <c r="AA505" s="190"/>
      <c r="AB505" s="197"/>
      <c r="AC505" s="190"/>
    </row>
    <row r="506" spans="13:29" ht="15.5" x14ac:dyDescent="0.35">
      <c r="M506" s="329"/>
      <c r="N506" s="158"/>
      <c r="O506" s="158"/>
      <c r="P506" s="168"/>
      <c r="Q506" s="194"/>
      <c r="R506" s="195"/>
      <c r="S506" s="195"/>
      <c r="T506" s="342"/>
      <c r="U506" s="192"/>
      <c r="V506" s="192"/>
      <c r="W506" s="192"/>
      <c r="X506" s="192"/>
      <c r="Y506" s="190"/>
      <c r="Z506" s="196"/>
      <c r="AA506" s="190"/>
      <c r="AB506" s="197"/>
      <c r="AC506" s="190"/>
    </row>
    <row r="507" spans="13:29" ht="15.5" x14ac:dyDescent="0.35">
      <c r="M507" s="329"/>
      <c r="N507" s="158"/>
      <c r="O507" s="158"/>
      <c r="P507" s="184"/>
      <c r="Q507" s="185"/>
      <c r="R507" s="186"/>
      <c r="S507" s="187"/>
      <c r="T507" s="173"/>
      <c r="U507" s="192"/>
      <c r="V507" s="192"/>
      <c r="W507" s="189"/>
      <c r="X507" s="189"/>
      <c r="Y507" s="190"/>
      <c r="Z507" s="193"/>
      <c r="AA507" s="190"/>
      <c r="AB507" s="190"/>
      <c r="AC507" s="190"/>
    </row>
    <row r="508" spans="13:29" ht="15.5" x14ac:dyDescent="0.35">
      <c r="M508" s="329"/>
      <c r="N508" s="158"/>
      <c r="O508" s="158"/>
      <c r="P508" s="168"/>
      <c r="Q508" s="194"/>
      <c r="R508" s="195"/>
      <c r="S508" s="195"/>
      <c r="T508" s="342"/>
      <c r="U508" s="192"/>
      <c r="V508" s="192"/>
      <c r="W508" s="192"/>
      <c r="X508" s="192"/>
      <c r="Y508" s="190"/>
      <c r="Z508" s="196"/>
      <c r="AA508" s="190"/>
      <c r="AB508" s="197"/>
      <c r="AC508" s="190"/>
    </row>
    <row r="509" spans="13:29" ht="15.5" x14ac:dyDescent="0.35">
      <c r="M509" s="329"/>
      <c r="N509" s="158"/>
      <c r="O509" s="158"/>
      <c r="P509" s="184"/>
      <c r="Q509" s="185"/>
      <c r="R509" s="186"/>
      <c r="S509" s="187"/>
      <c r="T509" s="173"/>
      <c r="U509" s="192"/>
      <c r="V509" s="192"/>
      <c r="W509" s="189"/>
      <c r="X509" s="189"/>
      <c r="Y509" s="190"/>
      <c r="Z509" s="193"/>
      <c r="AA509" s="190"/>
      <c r="AB509" s="190"/>
      <c r="AC509" s="190"/>
    </row>
    <row r="510" spans="13:29" ht="15.5" x14ac:dyDescent="0.35">
      <c r="M510" s="329"/>
      <c r="N510" s="158"/>
      <c r="O510" s="158"/>
      <c r="P510" s="168"/>
      <c r="Q510" s="194"/>
      <c r="R510" s="195"/>
      <c r="S510" s="195"/>
      <c r="T510" s="192"/>
      <c r="U510" s="192"/>
      <c r="V510" s="192"/>
      <c r="W510" s="192"/>
      <c r="X510" s="192"/>
      <c r="Y510" s="190"/>
      <c r="Z510" s="196"/>
      <c r="AA510" s="190"/>
      <c r="AB510" s="197"/>
      <c r="AC510" s="190"/>
    </row>
    <row r="511" spans="13:29" ht="15.5" x14ac:dyDescent="0.35">
      <c r="M511" s="329"/>
      <c r="N511" s="158"/>
      <c r="O511" s="158"/>
      <c r="P511" s="168"/>
      <c r="Q511" s="194"/>
      <c r="R511" s="195"/>
      <c r="S511" s="195"/>
      <c r="T511" s="192"/>
      <c r="U511" s="192"/>
      <c r="V511" s="192"/>
      <c r="W511" s="192"/>
      <c r="X511" s="192"/>
      <c r="Y511" s="190"/>
      <c r="Z511" s="196"/>
      <c r="AA511" s="190"/>
      <c r="AB511" s="197"/>
      <c r="AC511" s="190"/>
    </row>
    <row r="512" spans="13:29" ht="15.5" x14ac:dyDescent="0.35">
      <c r="M512" s="329"/>
      <c r="N512" s="158"/>
      <c r="O512" s="158"/>
      <c r="P512" s="184"/>
      <c r="Q512" s="185"/>
      <c r="R512" s="186"/>
      <c r="S512" s="187"/>
      <c r="T512" s="330"/>
      <c r="U512" s="192"/>
      <c r="V512" s="192"/>
      <c r="W512" s="189"/>
      <c r="X512" s="189"/>
      <c r="Y512" s="190"/>
      <c r="Z512" s="193"/>
      <c r="AA512" s="190"/>
      <c r="AB512" s="190"/>
      <c r="AC512" s="190"/>
    </row>
    <row r="513" spans="13:29" ht="15.5" x14ac:dyDescent="0.35">
      <c r="M513" s="329"/>
      <c r="N513" s="158"/>
      <c r="O513" s="158"/>
      <c r="P513" s="168"/>
      <c r="Q513" s="194"/>
      <c r="R513" s="195"/>
      <c r="S513" s="195"/>
      <c r="T513" s="342"/>
      <c r="U513" s="192"/>
      <c r="V513" s="192"/>
      <c r="W513" s="192"/>
      <c r="X513" s="192"/>
      <c r="Y513" s="190"/>
      <c r="Z513" s="196"/>
      <c r="AA513" s="190"/>
      <c r="AB513" s="197"/>
      <c r="AC513" s="190"/>
    </row>
    <row r="514" spans="13:29" ht="15.5" x14ac:dyDescent="0.35">
      <c r="M514" s="329"/>
      <c r="N514" s="158"/>
      <c r="O514" s="158"/>
      <c r="P514" s="168"/>
      <c r="Q514" s="194"/>
      <c r="R514" s="195"/>
      <c r="S514" s="195"/>
      <c r="T514" s="192"/>
      <c r="U514" s="192"/>
      <c r="V514" s="192"/>
      <c r="W514" s="192"/>
      <c r="X514" s="189"/>
      <c r="Y514" s="190"/>
      <c r="Z514" s="196"/>
      <c r="AA514" s="190"/>
      <c r="AB514" s="197"/>
      <c r="AC514" s="190"/>
    </row>
    <row r="515" spans="13:29" ht="15.5" x14ac:dyDescent="0.35">
      <c r="M515" s="329"/>
      <c r="N515" s="158"/>
      <c r="O515" s="158"/>
      <c r="P515" s="168"/>
      <c r="Q515" s="194"/>
      <c r="R515" s="195"/>
      <c r="S515" s="195"/>
      <c r="T515" s="342"/>
      <c r="U515" s="192"/>
      <c r="V515" s="192"/>
      <c r="W515" s="192"/>
      <c r="X515" s="192"/>
      <c r="Y515" s="190"/>
      <c r="Z515" s="196"/>
      <c r="AA515" s="190"/>
      <c r="AB515" s="197"/>
      <c r="AC515" s="190"/>
    </row>
    <row r="516" spans="13:29" ht="15.5" x14ac:dyDescent="0.35">
      <c r="M516" s="329"/>
      <c r="N516" s="158"/>
      <c r="O516" s="158"/>
      <c r="P516" s="168"/>
      <c r="Q516" s="194"/>
      <c r="R516" s="195"/>
      <c r="S516" s="195"/>
      <c r="T516" s="192"/>
      <c r="U516" s="192"/>
      <c r="V516" s="192"/>
      <c r="W516" s="192"/>
      <c r="X516" s="192"/>
      <c r="Y516" s="190"/>
      <c r="Z516" s="196"/>
      <c r="AA516" s="190"/>
      <c r="AB516" s="197"/>
      <c r="AC516" s="190"/>
    </row>
    <row r="517" spans="13:29" ht="15.5" x14ac:dyDescent="0.35">
      <c r="M517" s="329"/>
      <c r="N517" s="158"/>
      <c r="O517" s="158"/>
      <c r="P517" s="168"/>
      <c r="Q517" s="194"/>
      <c r="R517" s="195"/>
      <c r="S517" s="195"/>
      <c r="T517" s="342"/>
      <c r="U517" s="192"/>
      <c r="V517" s="192"/>
      <c r="W517" s="192"/>
      <c r="X517" s="192"/>
      <c r="Y517" s="190"/>
      <c r="Z517" s="196"/>
      <c r="AA517" s="190"/>
      <c r="AB517" s="197"/>
      <c r="AC517" s="190"/>
    </row>
    <row r="518" spans="13:29" ht="15.5" x14ac:dyDescent="0.35">
      <c r="M518" s="329"/>
      <c r="N518" s="158"/>
      <c r="O518" s="158"/>
      <c r="P518" s="184"/>
      <c r="Q518" s="185"/>
      <c r="R518" s="186"/>
      <c r="S518" s="187"/>
      <c r="T518" s="173"/>
      <c r="U518" s="192"/>
      <c r="V518" s="192"/>
      <c r="W518" s="189"/>
      <c r="X518" s="189"/>
      <c r="Y518" s="190"/>
      <c r="Z518" s="193"/>
      <c r="AA518" s="190"/>
      <c r="AB518" s="190"/>
      <c r="AC518" s="190"/>
    </row>
    <row r="519" spans="13:29" ht="15.5" x14ac:dyDescent="0.35">
      <c r="M519" s="329"/>
      <c r="N519" s="158"/>
      <c r="O519" s="158"/>
      <c r="P519" s="184"/>
      <c r="Q519" s="185"/>
      <c r="R519" s="186"/>
      <c r="S519" s="187"/>
      <c r="T519" s="330"/>
      <c r="U519" s="192"/>
      <c r="V519" s="192"/>
      <c r="W519" s="189"/>
      <c r="X519" s="189"/>
      <c r="Y519" s="190"/>
      <c r="Z519" s="193"/>
      <c r="AA519" s="190"/>
      <c r="AB519" s="190"/>
      <c r="AC519" s="190"/>
    </row>
    <row r="520" spans="13:29" ht="15.5" x14ac:dyDescent="0.35">
      <c r="M520" s="329"/>
      <c r="N520" s="158"/>
      <c r="O520" s="158"/>
      <c r="P520" s="168"/>
      <c r="Q520" s="194"/>
      <c r="R520" s="195"/>
      <c r="S520" s="195"/>
      <c r="T520" s="342"/>
      <c r="U520" s="192"/>
      <c r="V520" s="192"/>
      <c r="W520" s="192"/>
      <c r="X520" s="192"/>
      <c r="Y520" s="190"/>
      <c r="Z520" s="196"/>
      <c r="AA520" s="190"/>
      <c r="AB520" s="197"/>
      <c r="AC520" s="190"/>
    </row>
    <row r="521" spans="13:29" ht="15.5" x14ac:dyDescent="0.35">
      <c r="M521" s="329"/>
      <c r="N521" s="158"/>
      <c r="O521" s="158"/>
      <c r="P521" s="184"/>
      <c r="Q521" s="185"/>
      <c r="R521" s="186"/>
      <c r="S521" s="187"/>
      <c r="T521" s="173"/>
      <c r="U521" s="192"/>
      <c r="V521" s="192"/>
      <c r="W521" s="189"/>
      <c r="X521" s="189"/>
      <c r="Y521" s="190"/>
      <c r="Z521" s="193"/>
      <c r="AA521" s="190"/>
      <c r="AB521" s="190"/>
      <c r="AC521" s="190"/>
    </row>
    <row r="522" spans="13:29" ht="15.5" x14ac:dyDescent="0.35">
      <c r="M522" s="329"/>
      <c r="N522" s="158"/>
      <c r="O522" s="158"/>
      <c r="P522" s="168"/>
      <c r="Q522" s="194"/>
      <c r="R522" s="195"/>
      <c r="S522" s="195"/>
      <c r="T522" s="342"/>
      <c r="U522" s="192"/>
      <c r="V522" s="192"/>
      <c r="W522" s="192"/>
      <c r="X522" s="192"/>
      <c r="Y522" s="190"/>
      <c r="Z522" s="196"/>
      <c r="AA522" s="190"/>
      <c r="AB522" s="197"/>
      <c r="AC522" s="190"/>
    </row>
    <row r="523" spans="13:29" ht="15.5" x14ac:dyDescent="0.35">
      <c r="M523" s="329"/>
      <c r="N523" s="158"/>
      <c r="O523" s="158"/>
      <c r="P523" s="184"/>
      <c r="Q523" s="185"/>
      <c r="R523" s="186"/>
      <c r="S523" s="187"/>
      <c r="T523" s="330"/>
      <c r="U523" s="192"/>
      <c r="V523" s="192"/>
      <c r="W523" s="189"/>
      <c r="X523" s="189"/>
      <c r="Y523" s="190"/>
      <c r="Z523" s="193"/>
      <c r="AA523" s="190"/>
      <c r="AB523" s="190"/>
      <c r="AC523" s="190"/>
    </row>
    <row r="524" spans="13:29" ht="15.5" x14ac:dyDescent="0.35">
      <c r="M524" s="329"/>
      <c r="N524" s="158"/>
      <c r="O524" s="158"/>
      <c r="P524" s="184"/>
      <c r="Q524" s="185"/>
      <c r="R524" s="186"/>
      <c r="S524" s="187"/>
      <c r="T524" s="330"/>
      <c r="U524" s="192"/>
      <c r="V524" s="192"/>
      <c r="W524" s="189"/>
      <c r="X524" s="189"/>
      <c r="Y524" s="190"/>
      <c r="Z524" s="193"/>
      <c r="AA524" s="190"/>
      <c r="AB524" s="190"/>
      <c r="AC524" s="190"/>
    </row>
    <row r="525" spans="13:29" ht="15.5" x14ac:dyDescent="0.35">
      <c r="M525" s="329"/>
      <c r="N525" s="158"/>
      <c r="O525" s="158"/>
      <c r="P525" s="168"/>
      <c r="Q525" s="194"/>
      <c r="R525" s="195"/>
      <c r="S525" s="195"/>
      <c r="T525" s="342"/>
      <c r="U525" s="192"/>
      <c r="V525" s="192"/>
      <c r="W525" s="192"/>
      <c r="X525" s="192"/>
      <c r="Y525" s="190"/>
      <c r="Z525" s="196"/>
      <c r="AA525" s="190"/>
      <c r="AB525" s="197"/>
      <c r="AC525" s="190"/>
    </row>
    <row r="526" spans="13:29" ht="15.5" x14ac:dyDescent="0.35">
      <c r="M526" s="329"/>
      <c r="N526" s="158"/>
      <c r="O526" s="158"/>
      <c r="P526" s="168"/>
      <c r="Q526" s="194"/>
      <c r="R526" s="195"/>
      <c r="S526" s="195"/>
      <c r="T526" s="342"/>
      <c r="U526" s="192"/>
      <c r="V526" s="192"/>
      <c r="W526" s="192"/>
      <c r="X526" s="189"/>
      <c r="Y526" s="190"/>
      <c r="Z526" s="196"/>
      <c r="AA526" s="190"/>
      <c r="AB526" s="197"/>
      <c r="AC526" s="190"/>
    </row>
    <row r="527" spans="13:29" ht="15.5" x14ac:dyDescent="0.35">
      <c r="M527" s="329"/>
      <c r="N527" s="158"/>
      <c r="O527" s="158"/>
      <c r="P527" s="184"/>
      <c r="Q527" s="185"/>
      <c r="R527" s="186"/>
      <c r="S527" s="187"/>
      <c r="T527" s="330"/>
      <c r="U527" s="192"/>
      <c r="V527" s="192"/>
      <c r="W527" s="189"/>
      <c r="X527" s="189"/>
      <c r="Y527" s="190"/>
      <c r="Z527" s="193"/>
      <c r="AA527" s="190"/>
      <c r="AB527" s="190"/>
      <c r="AC527" s="190"/>
    </row>
    <row r="528" spans="13:29" ht="15.5" x14ac:dyDescent="0.35">
      <c r="M528" s="329"/>
      <c r="N528" s="158"/>
      <c r="O528" s="158"/>
      <c r="P528" s="168"/>
      <c r="Q528" s="194"/>
      <c r="R528" s="195"/>
      <c r="S528" s="195"/>
      <c r="T528" s="192"/>
      <c r="U528" s="192"/>
      <c r="V528" s="192"/>
      <c r="W528" s="192"/>
      <c r="X528" s="192"/>
      <c r="Y528" s="190"/>
      <c r="Z528" s="196"/>
      <c r="AA528" s="190"/>
      <c r="AB528" s="197"/>
      <c r="AC528" s="190"/>
    </row>
    <row r="529" spans="13:29" ht="15.5" x14ac:dyDescent="0.35">
      <c r="M529" s="329"/>
      <c r="N529" s="158"/>
      <c r="O529" s="158"/>
      <c r="P529" s="168"/>
      <c r="Q529" s="194"/>
      <c r="R529" s="195"/>
      <c r="S529" s="195"/>
      <c r="T529" s="192"/>
      <c r="U529" s="192"/>
      <c r="V529" s="192"/>
      <c r="W529" s="192"/>
      <c r="X529" s="192"/>
      <c r="Y529" s="197"/>
      <c r="Z529" s="212"/>
      <c r="AA529" s="190"/>
      <c r="AB529" s="197"/>
      <c r="AC529" s="190"/>
    </row>
    <row r="530" spans="13:29" ht="15.5" x14ac:dyDescent="0.35">
      <c r="M530" s="329"/>
      <c r="N530" s="158"/>
      <c r="O530" s="158"/>
      <c r="P530" s="168"/>
      <c r="Q530" s="194"/>
      <c r="R530" s="195"/>
      <c r="S530" s="195"/>
      <c r="T530" s="342"/>
      <c r="U530" s="192"/>
      <c r="V530" s="192"/>
      <c r="W530" s="192"/>
      <c r="X530" s="189"/>
      <c r="Y530" s="190"/>
      <c r="Z530" s="196"/>
      <c r="AA530" s="190"/>
      <c r="AB530" s="197"/>
      <c r="AC530" s="190"/>
    </row>
    <row r="531" spans="13:29" ht="15.5" x14ac:dyDescent="0.35">
      <c r="M531" s="329"/>
      <c r="N531" s="158"/>
      <c r="O531" s="158"/>
      <c r="P531" s="184"/>
      <c r="Q531" s="185"/>
      <c r="R531" s="186"/>
      <c r="S531" s="187"/>
      <c r="T531" s="330"/>
      <c r="U531" s="192"/>
      <c r="V531" s="192"/>
      <c r="W531" s="189"/>
      <c r="X531" s="189"/>
      <c r="Y531" s="190"/>
      <c r="Z531" s="193"/>
      <c r="AA531" s="190"/>
      <c r="AB531" s="190"/>
      <c r="AC531" s="190"/>
    </row>
    <row r="532" spans="13:29" ht="15.5" x14ac:dyDescent="0.35">
      <c r="M532" s="329"/>
      <c r="N532" s="158"/>
      <c r="O532" s="158"/>
      <c r="P532" s="184"/>
      <c r="Q532" s="185"/>
      <c r="R532" s="186"/>
      <c r="S532" s="187"/>
      <c r="T532" s="330"/>
      <c r="U532" s="192"/>
      <c r="V532" s="192"/>
      <c r="W532" s="189"/>
      <c r="X532" s="189"/>
      <c r="Y532" s="190"/>
      <c r="Z532" s="193"/>
      <c r="AA532" s="190"/>
      <c r="AB532" s="190"/>
      <c r="AC532" s="190"/>
    </row>
    <row r="533" spans="13:29" ht="15.5" x14ac:dyDescent="0.35">
      <c r="M533" s="329"/>
      <c r="N533" s="158"/>
      <c r="O533" s="158"/>
      <c r="P533" s="168"/>
      <c r="Q533" s="194"/>
      <c r="R533" s="195"/>
      <c r="S533" s="195"/>
      <c r="T533" s="342"/>
      <c r="U533" s="192"/>
      <c r="V533" s="192"/>
      <c r="W533" s="192"/>
      <c r="X533" s="192"/>
      <c r="Y533" s="190"/>
      <c r="Z533" s="196"/>
      <c r="AA533" s="190"/>
      <c r="AB533" s="197"/>
      <c r="AC533" s="190"/>
    </row>
    <row r="534" spans="13:29" ht="15.5" x14ac:dyDescent="0.35">
      <c r="M534" s="329"/>
      <c r="N534" s="158"/>
      <c r="O534" s="158"/>
      <c r="P534" s="168"/>
      <c r="Q534" s="194"/>
      <c r="R534" s="195"/>
      <c r="S534" s="195"/>
      <c r="T534" s="192"/>
      <c r="U534" s="192"/>
      <c r="V534" s="192"/>
      <c r="W534" s="192"/>
      <c r="X534" s="192"/>
      <c r="Y534" s="190"/>
      <c r="Z534" s="196"/>
      <c r="AA534" s="190"/>
      <c r="AB534" s="197"/>
      <c r="AC534" s="190"/>
    </row>
    <row r="535" spans="13:29" ht="15.5" x14ac:dyDescent="0.35">
      <c r="M535" s="329"/>
      <c r="N535" s="158"/>
      <c r="O535" s="158"/>
      <c r="P535" s="168"/>
      <c r="Q535" s="194"/>
      <c r="R535" s="195"/>
      <c r="S535" s="195"/>
      <c r="T535" s="192"/>
      <c r="U535" s="192"/>
      <c r="V535" s="192"/>
      <c r="W535" s="192"/>
      <c r="X535" s="189"/>
      <c r="Y535" s="190"/>
      <c r="Z535" s="196"/>
      <c r="AA535" s="190"/>
      <c r="AB535" s="197"/>
      <c r="AC535" s="190"/>
    </row>
    <row r="536" spans="13:29" ht="15.5" x14ac:dyDescent="0.35">
      <c r="M536" s="329"/>
      <c r="N536" s="167"/>
      <c r="O536" s="158"/>
      <c r="P536" s="168"/>
      <c r="Q536" s="194"/>
      <c r="R536" s="195"/>
      <c r="S536" s="195"/>
      <c r="T536" s="192"/>
      <c r="U536" s="192"/>
      <c r="V536" s="192"/>
      <c r="W536" s="192"/>
      <c r="X536" s="192"/>
      <c r="Y536" s="222"/>
      <c r="Z536" s="223"/>
      <c r="AA536" s="222"/>
      <c r="AB536" s="222"/>
      <c r="AC536" s="190"/>
    </row>
    <row r="537" spans="13:29" ht="15.5" x14ac:dyDescent="0.35">
      <c r="M537" s="329"/>
      <c r="N537" s="158"/>
      <c r="O537" s="158"/>
      <c r="P537" s="168"/>
      <c r="Q537" s="194"/>
      <c r="R537" s="195"/>
      <c r="S537" s="195"/>
      <c r="T537" s="192"/>
      <c r="U537" s="192"/>
      <c r="V537" s="192"/>
      <c r="W537" s="192"/>
      <c r="X537" s="192"/>
      <c r="Y537" s="190"/>
      <c r="Z537" s="196"/>
      <c r="AA537" s="190"/>
      <c r="AB537" s="197"/>
      <c r="AC537" s="190"/>
    </row>
    <row r="538" spans="13:29" ht="15.5" x14ac:dyDescent="0.35">
      <c r="M538" s="329"/>
      <c r="N538" s="158"/>
      <c r="O538" s="158"/>
      <c r="P538" s="168"/>
      <c r="Q538" s="194"/>
      <c r="R538" s="195"/>
      <c r="S538" s="195"/>
      <c r="T538" s="342"/>
      <c r="U538" s="192"/>
      <c r="V538" s="192"/>
      <c r="W538" s="192"/>
      <c r="X538" s="192"/>
      <c r="Y538" s="190"/>
      <c r="Z538" s="196"/>
      <c r="AA538" s="190"/>
      <c r="AB538" s="197"/>
      <c r="AC538" s="190"/>
    </row>
    <row r="539" spans="13:29" ht="15.5" x14ac:dyDescent="0.35">
      <c r="M539" s="329"/>
      <c r="N539" s="158"/>
      <c r="O539" s="199"/>
      <c r="P539" s="200"/>
      <c r="Q539" s="201"/>
      <c r="R539" s="195"/>
      <c r="S539" s="202"/>
      <c r="T539" s="339"/>
      <c r="U539" s="203"/>
      <c r="V539" s="203"/>
      <c r="W539" s="192"/>
      <c r="X539" s="192"/>
      <c r="Y539" s="190"/>
      <c r="Z539" s="193"/>
      <c r="AA539" s="190"/>
      <c r="AB539" s="190"/>
      <c r="AC539" s="190"/>
    </row>
    <row r="540" spans="13:29" ht="15.5" x14ac:dyDescent="0.35">
      <c r="M540" s="329"/>
      <c r="N540" s="158"/>
      <c r="O540" s="199"/>
      <c r="P540" s="200"/>
      <c r="Q540" s="201"/>
      <c r="R540" s="208"/>
      <c r="S540" s="202"/>
      <c r="T540" s="203"/>
      <c r="U540" s="203"/>
      <c r="V540" s="203"/>
      <c r="W540" s="192"/>
      <c r="X540" s="192"/>
      <c r="Y540" s="190"/>
      <c r="Z540" s="193"/>
      <c r="AA540" s="190"/>
      <c r="AB540" s="190"/>
      <c r="AC540" s="190"/>
    </row>
    <row r="541" spans="13:29" ht="15.5" x14ac:dyDescent="0.35">
      <c r="M541" s="329"/>
      <c r="N541" s="158"/>
      <c r="O541" s="158"/>
      <c r="P541" s="168"/>
      <c r="Q541" s="194"/>
      <c r="R541" s="195"/>
      <c r="S541" s="195"/>
      <c r="T541" s="192"/>
      <c r="U541" s="192"/>
      <c r="V541" s="192"/>
      <c r="W541" s="192"/>
      <c r="X541" s="192"/>
      <c r="Y541" s="190"/>
      <c r="Z541" s="212"/>
      <c r="AA541" s="190"/>
      <c r="AB541" s="190"/>
      <c r="AC541" s="190"/>
    </row>
    <row r="542" spans="13:29" ht="15.5" x14ac:dyDescent="0.35">
      <c r="M542" s="329"/>
      <c r="N542" s="158"/>
      <c r="O542" s="205"/>
      <c r="P542" s="209"/>
      <c r="Q542" s="210"/>
      <c r="R542" s="208"/>
      <c r="S542" s="202"/>
      <c r="T542" s="211"/>
      <c r="U542" s="203"/>
      <c r="V542" s="203"/>
      <c r="W542" s="192"/>
      <c r="X542" s="192"/>
      <c r="Y542" s="190"/>
      <c r="Z542" s="193"/>
      <c r="AA542" s="190"/>
      <c r="AB542" s="190"/>
      <c r="AC542" s="190"/>
    </row>
    <row r="543" spans="13:29" ht="15.5" x14ac:dyDescent="0.35">
      <c r="M543" s="329"/>
      <c r="N543" s="158"/>
      <c r="O543" s="199"/>
      <c r="P543" s="200"/>
      <c r="Q543" s="201"/>
      <c r="R543" s="208"/>
      <c r="S543" s="202"/>
      <c r="T543" s="339"/>
      <c r="U543" s="203"/>
      <c r="V543" s="203"/>
      <c r="W543" s="192"/>
      <c r="X543" s="192"/>
      <c r="Y543" s="190"/>
      <c r="Z543" s="193"/>
      <c r="AA543" s="190"/>
      <c r="AB543" s="190"/>
      <c r="AC543" s="190"/>
    </row>
    <row r="544" spans="13:29" ht="15.5" x14ac:dyDescent="0.35">
      <c r="M544" s="329"/>
      <c r="N544" s="158"/>
      <c r="O544" s="199"/>
      <c r="P544" s="200"/>
      <c r="Q544" s="201"/>
      <c r="R544" s="208"/>
      <c r="S544" s="202"/>
      <c r="T544" s="339"/>
      <c r="U544" s="203"/>
      <c r="V544" s="203"/>
      <c r="W544" s="192"/>
      <c r="X544" s="192"/>
      <c r="Y544" s="190"/>
      <c r="Z544" s="193"/>
      <c r="AA544" s="190"/>
      <c r="AB544" s="190"/>
      <c r="AC544" s="190"/>
    </row>
    <row r="545" spans="13:29" ht="15.5" x14ac:dyDescent="0.35">
      <c r="M545" s="329"/>
      <c r="N545" s="158"/>
      <c r="O545" s="199"/>
      <c r="P545" s="200"/>
      <c r="Q545" s="201"/>
      <c r="R545" s="208"/>
      <c r="S545" s="202"/>
      <c r="T545" s="339"/>
      <c r="U545" s="203"/>
      <c r="V545" s="203"/>
      <c r="W545" s="192"/>
      <c r="X545" s="192"/>
      <c r="Y545" s="190"/>
      <c r="Z545" s="193"/>
      <c r="AA545" s="190"/>
      <c r="AB545" s="190"/>
      <c r="AC545" s="190"/>
    </row>
    <row r="546" spans="13:29" ht="15.5" x14ac:dyDescent="0.35">
      <c r="M546" s="329"/>
      <c r="N546" s="158"/>
      <c r="O546" s="158"/>
      <c r="P546" s="168"/>
      <c r="Q546" s="194"/>
      <c r="R546" s="195"/>
      <c r="S546" s="195"/>
      <c r="T546" s="192"/>
      <c r="U546" s="192"/>
      <c r="V546" s="192"/>
      <c r="W546" s="192"/>
      <c r="X546" s="192"/>
      <c r="Y546" s="190"/>
      <c r="Z546" s="196"/>
      <c r="AA546" s="190"/>
      <c r="AB546" s="197"/>
      <c r="AC546" s="190"/>
    </row>
    <row r="547" spans="13:29" ht="15.5" x14ac:dyDescent="0.35">
      <c r="M547" s="329"/>
      <c r="N547" s="158"/>
      <c r="O547" s="158"/>
      <c r="P547" s="168"/>
      <c r="Q547" s="194"/>
      <c r="R547" s="195"/>
      <c r="S547" s="195"/>
      <c r="T547" s="192"/>
      <c r="U547" s="192"/>
      <c r="V547" s="192"/>
      <c r="W547" s="192"/>
      <c r="X547" s="192"/>
      <c r="Y547" s="197"/>
      <c r="Z547" s="212"/>
      <c r="AA547" s="190"/>
      <c r="AB547" s="197"/>
      <c r="AC547" s="224"/>
    </row>
    <row r="548" spans="13:29" ht="15.5" x14ac:dyDescent="0.35">
      <c r="M548" s="329"/>
      <c r="N548" s="158"/>
      <c r="O548" s="158"/>
      <c r="P548" s="168"/>
      <c r="Q548" s="194"/>
      <c r="R548" s="195"/>
      <c r="S548" s="195"/>
      <c r="T548" s="192"/>
      <c r="U548" s="192"/>
      <c r="V548" s="192"/>
      <c r="W548" s="192"/>
      <c r="X548" s="192"/>
      <c r="Y548" s="190"/>
      <c r="Z548" s="196"/>
      <c r="AA548" s="190"/>
      <c r="AB548" s="197"/>
      <c r="AC548" s="190"/>
    </row>
    <row r="549" spans="13:29" ht="15.5" x14ac:dyDescent="0.35">
      <c r="M549" s="329"/>
      <c r="N549" s="158"/>
      <c r="O549" s="158"/>
      <c r="P549" s="168"/>
      <c r="Q549" s="194"/>
      <c r="R549" s="195"/>
      <c r="S549" s="195"/>
      <c r="T549" s="192"/>
      <c r="U549" s="192"/>
      <c r="V549" s="192"/>
      <c r="W549" s="192"/>
      <c r="X549" s="192"/>
      <c r="Y549" s="197"/>
      <c r="Z549" s="212"/>
      <c r="AA549" s="190"/>
      <c r="AB549" s="197"/>
      <c r="AC549" s="224"/>
    </row>
    <row r="550" spans="13:29" ht="15.5" x14ac:dyDescent="0.35">
      <c r="M550" s="329"/>
      <c r="N550" s="158"/>
      <c r="O550" s="199"/>
      <c r="P550" s="200"/>
      <c r="Q550" s="201"/>
      <c r="R550" s="208"/>
      <c r="S550" s="202"/>
      <c r="T550" s="339"/>
      <c r="U550" s="203"/>
      <c r="V550" s="203"/>
      <c r="W550" s="192"/>
      <c r="X550" s="192"/>
      <c r="Y550" s="190"/>
      <c r="Z550" s="193"/>
      <c r="AA550" s="190"/>
      <c r="AB550" s="190"/>
      <c r="AC550" s="190"/>
    </row>
    <row r="551" spans="13:29" ht="15.5" x14ac:dyDescent="0.35">
      <c r="M551" s="329"/>
      <c r="N551" s="158"/>
      <c r="O551" s="158"/>
      <c r="P551" s="168"/>
      <c r="Q551" s="194"/>
      <c r="R551" s="195"/>
      <c r="S551" s="195"/>
      <c r="T551" s="192"/>
      <c r="U551" s="192"/>
      <c r="V551" s="192"/>
      <c r="W551" s="192"/>
      <c r="X551" s="192"/>
      <c r="Y551" s="190"/>
      <c r="Z551" s="196"/>
      <c r="AA551" s="190"/>
      <c r="AB551" s="197"/>
      <c r="AC551" s="190"/>
    </row>
    <row r="552" spans="13:29" ht="15.5" x14ac:dyDescent="0.35">
      <c r="M552" s="329"/>
      <c r="N552" s="158"/>
      <c r="O552" s="199"/>
      <c r="P552" s="200"/>
      <c r="Q552" s="201"/>
      <c r="R552" s="208"/>
      <c r="S552" s="202"/>
      <c r="T552" s="203"/>
      <c r="U552" s="203"/>
      <c r="V552" s="203"/>
      <c r="W552" s="192"/>
      <c r="X552" s="192"/>
      <c r="Y552" s="190"/>
      <c r="Z552" s="193"/>
      <c r="AA552" s="190"/>
      <c r="AB552" s="190"/>
      <c r="AC552" s="190"/>
    </row>
    <row r="553" spans="13:29" ht="15.5" x14ac:dyDescent="0.35">
      <c r="M553" s="329"/>
      <c r="N553" s="158"/>
      <c r="O553" s="199"/>
      <c r="P553" s="200"/>
      <c r="Q553" s="201"/>
      <c r="R553" s="208"/>
      <c r="S553" s="202"/>
      <c r="T553" s="339"/>
      <c r="U553" s="203"/>
      <c r="V553" s="203"/>
      <c r="W553" s="192"/>
      <c r="X553" s="192"/>
      <c r="Y553" s="190"/>
      <c r="Z553" s="193"/>
      <c r="AA553" s="190"/>
      <c r="AB553" s="190"/>
      <c r="AC553" s="190"/>
    </row>
    <row r="554" spans="13:29" ht="15.5" x14ac:dyDescent="0.35">
      <c r="M554" s="329"/>
      <c r="N554" s="158"/>
      <c r="O554" s="158"/>
      <c r="P554" s="168"/>
      <c r="Q554" s="194"/>
      <c r="R554" s="195"/>
      <c r="S554" s="195"/>
      <c r="T554" s="342"/>
      <c r="U554" s="192"/>
      <c r="V554" s="192"/>
      <c r="W554" s="192"/>
      <c r="X554" s="189"/>
      <c r="Y554" s="190"/>
      <c r="Z554" s="196"/>
      <c r="AA554" s="190"/>
      <c r="AB554" s="197"/>
      <c r="AC554" s="190"/>
    </row>
    <row r="555" spans="13:29" ht="15.5" x14ac:dyDescent="0.35">
      <c r="M555" s="329"/>
      <c r="N555" s="158"/>
      <c r="O555" s="158"/>
      <c r="P555" s="184"/>
      <c r="Q555" s="185"/>
      <c r="R555" s="186"/>
      <c r="S555" s="187"/>
      <c r="T555" s="173"/>
      <c r="U555" s="192"/>
      <c r="V555" s="192"/>
      <c r="W555" s="189"/>
      <c r="X555" s="189"/>
      <c r="Y555" s="190"/>
      <c r="Z555" s="193"/>
      <c r="AA555" s="190"/>
      <c r="AB555" s="190"/>
      <c r="AC555" s="190"/>
    </row>
    <row r="556" spans="13:29" ht="15.5" x14ac:dyDescent="0.35">
      <c r="M556" s="329"/>
      <c r="N556" s="158"/>
      <c r="O556" s="158"/>
      <c r="P556" s="168"/>
      <c r="Q556" s="194"/>
      <c r="R556" s="195"/>
      <c r="S556" s="195"/>
      <c r="T556" s="192"/>
      <c r="U556" s="192"/>
      <c r="V556" s="192"/>
      <c r="W556" s="192"/>
      <c r="X556" s="192"/>
      <c r="Y556" s="190"/>
      <c r="Z556" s="196"/>
      <c r="AA556" s="190"/>
      <c r="AB556" s="197"/>
      <c r="AC556" s="190"/>
    </row>
    <row r="557" spans="13:29" ht="15.5" x14ac:dyDescent="0.35">
      <c r="M557" s="329"/>
      <c r="N557" s="158"/>
      <c r="O557" s="158"/>
      <c r="P557" s="168"/>
      <c r="Q557" s="194"/>
      <c r="R557" s="195"/>
      <c r="S557" s="195"/>
      <c r="T557" s="192"/>
      <c r="U557" s="192"/>
      <c r="V557" s="192"/>
      <c r="W557" s="192"/>
      <c r="X557" s="192"/>
      <c r="Y557" s="190"/>
      <c r="Z557" s="196"/>
      <c r="AA557" s="190"/>
      <c r="AB557" s="197"/>
      <c r="AC557" s="190"/>
    </row>
    <row r="558" spans="13:29" ht="15.5" x14ac:dyDescent="0.35">
      <c r="M558" s="329"/>
      <c r="N558" s="158"/>
      <c r="O558" s="199"/>
      <c r="P558" s="200"/>
      <c r="Q558" s="201"/>
      <c r="R558" s="208"/>
      <c r="S558" s="202"/>
      <c r="T558" s="203"/>
      <c r="U558" s="203"/>
      <c r="V558" s="203"/>
      <c r="W558" s="192"/>
      <c r="X558" s="192"/>
      <c r="Y558" s="190"/>
      <c r="Z558" s="193"/>
      <c r="AA558" s="190"/>
      <c r="AB558" s="190"/>
      <c r="AC558" s="190"/>
    </row>
    <row r="559" spans="13:29" ht="15.5" x14ac:dyDescent="0.35">
      <c r="M559" s="329"/>
      <c r="N559" s="158"/>
      <c r="O559" s="158"/>
      <c r="P559" s="184"/>
      <c r="Q559" s="185"/>
      <c r="R559" s="186"/>
      <c r="S559" s="187"/>
      <c r="T559" s="173"/>
      <c r="U559" s="192"/>
      <c r="V559" s="192"/>
      <c r="W559" s="189"/>
      <c r="X559" s="192"/>
      <c r="Y559" s="190"/>
      <c r="Z559" s="193"/>
      <c r="AA559" s="190"/>
      <c r="AB559" s="190"/>
      <c r="AC559" s="190"/>
    </row>
    <row r="560" spans="13:29" ht="15.5" x14ac:dyDescent="0.35">
      <c r="M560" s="329"/>
      <c r="N560" s="158"/>
      <c r="O560" s="199"/>
      <c r="P560" s="200"/>
      <c r="Q560" s="201"/>
      <c r="R560" s="208"/>
      <c r="S560" s="202"/>
      <c r="T560" s="203"/>
      <c r="U560" s="203"/>
      <c r="V560" s="203"/>
      <c r="W560" s="192"/>
      <c r="X560" s="192"/>
      <c r="Y560" s="190"/>
      <c r="Z560" s="193"/>
      <c r="AA560" s="190"/>
      <c r="AB560" s="190"/>
      <c r="AC560" s="190"/>
    </row>
    <row r="561" spans="13:29" ht="15.5" x14ac:dyDescent="0.35">
      <c r="M561" s="329"/>
      <c r="N561" s="158"/>
      <c r="O561" s="158"/>
      <c r="P561" s="168"/>
      <c r="Q561" s="194"/>
      <c r="R561" s="195"/>
      <c r="S561" s="195"/>
      <c r="T561" s="192"/>
      <c r="U561" s="192"/>
      <c r="V561" s="192"/>
      <c r="W561" s="192"/>
      <c r="X561" s="192"/>
      <c r="Y561" s="190"/>
      <c r="Z561" s="212"/>
      <c r="AA561" s="190"/>
      <c r="AB561" s="190"/>
      <c r="AC561" s="190"/>
    </row>
    <row r="562" spans="13:29" ht="15.5" x14ac:dyDescent="0.35">
      <c r="M562" s="329"/>
      <c r="N562" s="158"/>
      <c r="O562" s="158"/>
      <c r="P562" s="168"/>
      <c r="Q562" s="194"/>
      <c r="R562" s="195"/>
      <c r="S562" s="195"/>
      <c r="T562" s="192"/>
      <c r="U562" s="192"/>
      <c r="V562" s="192"/>
      <c r="W562" s="192"/>
      <c r="X562" s="192"/>
      <c r="Y562" s="190"/>
      <c r="Z562" s="212"/>
      <c r="AA562" s="190"/>
      <c r="AB562" s="190"/>
      <c r="AC562" s="190"/>
    </row>
    <row r="563" spans="13:29" ht="15.5" x14ac:dyDescent="0.35">
      <c r="M563" s="329"/>
      <c r="N563" s="158"/>
      <c r="O563" s="158"/>
      <c r="P563" s="184"/>
      <c r="Q563" s="185"/>
      <c r="R563" s="208"/>
      <c r="S563" s="202"/>
      <c r="T563" s="188"/>
      <c r="U563" s="203"/>
      <c r="V563" s="203"/>
      <c r="W563" s="192"/>
      <c r="X563" s="192"/>
      <c r="Y563" s="190"/>
      <c r="Z563" s="193"/>
      <c r="AA563" s="190"/>
      <c r="AB563" s="190"/>
      <c r="AC563" s="190"/>
    </row>
    <row r="564" spans="13:29" ht="15.5" x14ac:dyDescent="0.35">
      <c r="M564" s="329"/>
      <c r="N564" s="158"/>
      <c r="O564" s="199"/>
      <c r="P564" s="200"/>
      <c r="Q564" s="201"/>
      <c r="R564" s="208"/>
      <c r="S564" s="202"/>
      <c r="T564" s="339"/>
      <c r="U564" s="203"/>
      <c r="V564" s="203"/>
      <c r="W564" s="192"/>
      <c r="X564" s="192"/>
      <c r="Y564" s="190"/>
      <c r="Z564" s="193"/>
      <c r="AA564" s="190"/>
      <c r="AB564" s="190"/>
      <c r="AC564" s="190"/>
    </row>
    <row r="565" spans="13:29" ht="15.5" x14ac:dyDescent="0.35">
      <c r="M565" s="329"/>
      <c r="N565" s="158"/>
      <c r="O565" s="199"/>
      <c r="P565" s="200"/>
      <c r="Q565" s="201"/>
      <c r="R565" s="208"/>
      <c r="S565" s="202"/>
      <c r="T565" s="203"/>
      <c r="U565" s="203"/>
      <c r="V565" s="203"/>
      <c r="W565" s="192"/>
      <c r="X565" s="192"/>
      <c r="Y565" s="190"/>
      <c r="Z565" s="193"/>
      <c r="AA565" s="190"/>
      <c r="AB565" s="190"/>
      <c r="AC565" s="190"/>
    </row>
    <row r="566" spans="13:29" ht="15.5" x14ac:dyDescent="0.35">
      <c r="M566" s="329"/>
      <c r="N566" s="158"/>
      <c r="O566" s="199"/>
      <c r="P566" s="218"/>
      <c r="Q566" s="219"/>
      <c r="R566" s="195"/>
      <c r="S566" s="202"/>
      <c r="T566" s="220"/>
      <c r="U566" s="203"/>
      <c r="V566" s="203"/>
      <c r="W566" s="192"/>
      <c r="X566" s="192"/>
      <c r="Y566" s="190"/>
      <c r="Z566" s="193"/>
      <c r="AA566" s="190"/>
      <c r="AB566" s="190"/>
      <c r="AC566" s="190"/>
    </row>
    <row r="567" spans="13:29" ht="15.5" x14ac:dyDescent="0.35">
      <c r="M567" s="329"/>
      <c r="N567" s="158"/>
      <c r="O567" s="199"/>
      <c r="P567" s="200"/>
      <c r="Q567" s="201"/>
      <c r="R567" s="208"/>
      <c r="S567" s="202"/>
      <c r="T567" s="203"/>
      <c r="U567" s="203"/>
      <c r="V567" s="203"/>
      <c r="W567" s="192"/>
      <c r="X567" s="192"/>
      <c r="Y567" s="190"/>
      <c r="Z567" s="193"/>
      <c r="AA567" s="190"/>
      <c r="AB567" s="190"/>
      <c r="AC567" s="190"/>
    </row>
    <row r="568" spans="13:29" ht="15.5" x14ac:dyDescent="0.35">
      <c r="M568" s="329"/>
      <c r="N568" s="158"/>
      <c r="O568" s="199"/>
      <c r="P568" s="200"/>
      <c r="Q568" s="201"/>
      <c r="R568" s="208"/>
      <c r="S568" s="202"/>
      <c r="T568" s="203"/>
      <c r="U568" s="203"/>
      <c r="V568" s="203"/>
      <c r="W568" s="192"/>
      <c r="X568" s="192"/>
      <c r="Y568" s="190"/>
      <c r="Z568" s="193"/>
      <c r="AA568" s="190"/>
      <c r="AB568" s="190"/>
      <c r="AC568" s="190"/>
    </row>
    <row r="569" spans="13:29" ht="15.5" x14ac:dyDescent="0.35">
      <c r="M569" s="329"/>
      <c r="N569" s="158"/>
      <c r="O569" s="199"/>
      <c r="P569" s="200"/>
      <c r="Q569" s="201"/>
      <c r="R569" s="208"/>
      <c r="S569" s="202"/>
      <c r="T569" s="203"/>
      <c r="U569" s="203"/>
      <c r="V569" s="203"/>
      <c r="W569" s="192"/>
      <c r="X569" s="192"/>
      <c r="Y569" s="190"/>
      <c r="Z569" s="193"/>
      <c r="AA569" s="190"/>
      <c r="AB569" s="190"/>
      <c r="AC569" s="190"/>
    </row>
    <row r="570" spans="13:29" ht="15.5" x14ac:dyDescent="0.35">
      <c r="M570" s="329"/>
      <c r="N570" s="158"/>
      <c r="O570" s="158"/>
      <c r="P570" s="168"/>
      <c r="Q570" s="194"/>
      <c r="R570" s="195"/>
      <c r="S570" s="195"/>
      <c r="T570" s="192"/>
      <c r="U570" s="192"/>
      <c r="V570" s="192"/>
      <c r="W570" s="192"/>
      <c r="X570" s="192"/>
      <c r="Y570" s="190"/>
      <c r="Z570" s="196"/>
      <c r="AA570" s="190"/>
      <c r="AB570" s="197"/>
      <c r="AC570" s="190"/>
    </row>
    <row r="571" spans="13:29" ht="15.5" x14ac:dyDescent="0.35">
      <c r="M571" s="329"/>
      <c r="N571" s="158"/>
      <c r="O571" s="199"/>
      <c r="P571" s="200"/>
      <c r="Q571" s="201"/>
      <c r="R571" s="208"/>
      <c r="S571" s="202"/>
      <c r="T571" s="339"/>
      <c r="U571" s="203"/>
      <c r="V571" s="203"/>
      <c r="W571" s="192"/>
      <c r="X571" s="192"/>
      <c r="Y571" s="190"/>
      <c r="Z571" s="193"/>
      <c r="AA571" s="190"/>
      <c r="AB571" s="190"/>
      <c r="AC571" s="190"/>
    </row>
    <row r="572" spans="13:29" ht="15.5" x14ac:dyDescent="0.35">
      <c r="M572" s="329"/>
      <c r="N572" s="158"/>
      <c r="O572" s="158"/>
      <c r="P572" s="168"/>
      <c r="Q572" s="194"/>
      <c r="R572" s="195"/>
      <c r="S572" s="195"/>
      <c r="T572" s="192"/>
      <c r="U572" s="192"/>
      <c r="V572" s="192"/>
      <c r="W572" s="192"/>
      <c r="X572" s="192"/>
      <c r="Y572" s="190"/>
      <c r="Z572" s="212"/>
      <c r="AA572" s="190"/>
      <c r="AB572" s="190"/>
      <c r="AC572" s="190"/>
    </row>
    <row r="573" spans="13:29" ht="15.5" x14ac:dyDescent="0.35">
      <c r="M573" s="329"/>
      <c r="N573" s="158"/>
      <c r="O573" s="205"/>
      <c r="P573" s="209"/>
      <c r="Q573" s="210"/>
      <c r="R573" s="208"/>
      <c r="S573" s="202"/>
      <c r="T573" s="331"/>
      <c r="U573" s="203"/>
      <c r="V573" s="203"/>
      <c r="W573" s="192"/>
      <c r="X573" s="192"/>
      <c r="Y573" s="190"/>
      <c r="Z573" s="193"/>
      <c r="AA573" s="190"/>
      <c r="AB573" s="190"/>
      <c r="AC573" s="190"/>
    </row>
    <row r="574" spans="13:29" ht="15.5" x14ac:dyDescent="0.35">
      <c r="M574" s="329"/>
      <c r="N574" s="158"/>
      <c r="O574" s="158"/>
      <c r="P574" s="168"/>
      <c r="Q574" s="194"/>
      <c r="R574" s="195"/>
      <c r="S574" s="195"/>
      <c r="T574" s="192"/>
      <c r="U574" s="192"/>
      <c r="V574" s="192"/>
      <c r="W574" s="192"/>
      <c r="X574" s="189"/>
      <c r="Y574" s="190"/>
      <c r="Z574" s="196"/>
      <c r="AA574" s="190"/>
      <c r="AB574" s="197"/>
      <c r="AC574" s="190"/>
    </row>
    <row r="575" spans="13:29" ht="15.5" x14ac:dyDescent="0.35">
      <c r="M575" s="329"/>
      <c r="N575" s="158"/>
      <c r="O575" s="199"/>
      <c r="P575" s="200"/>
      <c r="Q575" s="201"/>
      <c r="R575" s="208"/>
      <c r="S575" s="202"/>
      <c r="T575" s="203"/>
      <c r="U575" s="203"/>
      <c r="V575" s="203"/>
      <c r="W575" s="192"/>
      <c r="X575" s="192"/>
      <c r="Y575" s="190"/>
      <c r="Z575" s="193"/>
      <c r="AA575" s="190"/>
      <c r="AB575" s="190"/>
      <c r="AC575" s="190"/>
    </row>
    <row r="576" spans="13:29" ht="15.5" x14ac:dyDescent="0.35">
      <c r="M576" s="329"/>
      <c r="N576" s="158"/>
      <c r="O576" s="158"/>
      <c r="P576" s="168"/>
      <c r="Q576" s="194"/>
      <c r="R576" s="195"/>
      <c r="S576" s="195"/>
      <c r="T576" s="192"/>
      <c r="U576" s="192"/>
      <c r="V576" s="192"/>
      <c r="W576" s="192"/>
      <c r="X576" s="192"/>
      <c r="Y576" s="190"/>
      <c r="Z576" s="196"/>
      <c r="AA576" s="190"/>
      <c r="AB576" s="197"/>
      <c r="AC576" s="190"/>
    </row>
    <row r="577" spans="13:29" ht="15.5" x14ac:dyDescent="0.35">
      <c r="M577" s="329"/>
      <c r="N577" s="158"/>
      <c r="O577" s="158"/>
      <c r="P577" s="168"/>
      <c r="Q577" s="194"/>
      <c r="R577" s="195"/>
      <c r="S577" s="195"/>
      <c r="T577" s="342"/>
      <c r="U577" s="192"/>
      <c r="V577" s="192"/>
      <c r="W577" s="192"/>
      <c r="X577" s="192"/>
      <c r="Y577" s="190"/>
      <c r="Z577" s="196"/>
      <c r="AA577" s="190"/>
      <c r="AB577" s="197"/>
      <c r="AC577" s="190"/>
    </row>
    <row r="578" spans="13:29" ht="15.5" x14ac:dyDescent="0.35">
      <c r="M578" s="329"/>
      <c r="N578" s="158"/>
      <c r="O578" s="205"/>
      <c r="P578" s="209"/>
      <c r="Q578" s="210"/>
      <c r="R578" s="195"/>
      <c r="S578" s="202"/>
      <c r="T578" s="211"/>
      <c r="U578" s="203"/>
      <c r="V578" s="203"/>
      <c r="W578" s="192"/>
      <c r="X578" s="192"/>
      <c r="Y578" s="190"/>
      <c r="Z578" s="193"/>
      <c r="AA578" s="190"/>
      <c r="AB578" s="190"/>
      <c r="AC578" s="190"/>
    </row>
    <row r="579" spans="13:29" ht="15.5" x14ac:dyDescent="0.35">
      <c r="M579" s="329"/>
      <c r="N579" s="158"/>
      <c r="O579" s="225"/>
      <c r="P579" s="226"/>
      <c r="Q579" s="227"/>
      <c r="R579" s="195"/>
      <c r="S579" s="202"/>
      <c r="T579" s="344"/>
      <c r="U579" s="203"/>
      <c r="V579" s="203"/>
      <c r="W579" s="192"/>
      <c r="X579" s="192"/>
      <c r="Y579" s="190"/>
      <c r="Z579" s="193"/>
      <c r="AA579" s="190"/>
      <c r="AB579" s="190"/>
      <c r="AC579" s="190"/>
    </row>
    <row r="580" spans="13:29" ht="15.5" x14ac:dyDescent="0.35">
      <c r="M580" s="329"/>
      <c r="N580" s="158"/>
      <c r="O580" s="158"/>
      <c r="P580" s="213"/>
      <c r="Q580" s="214"/>
      <c r="R580" s="195"/>
      <c r="S580" s="202"/>
      <c r="T580" s="345"/>
      <c r="U580" s="203"/>
      <c r="V580" s="203"/>
      <c r="W580" s="192"/>
      <c r="X580" s="192"/>
      <c r="Y580" s="190"/>
      <c r="Z580" s="193"/>
      <c r="AA580" s="190"/>
      <c r="AB580" s="190"/>
      <c r="AC580" s="190"/>
    </row>
    <row r="581" spans="13:29" ht="15.5" x14ac:dyDescent="0.35">
      <c r="M581" s="329"/>
      <c r="N581" s="158"/>
      <c r="O581" s="199"/>
      <c r="P581" s="200"/>
      <c r="Q581" s="201"/>
      <c r="R581" s="208"/>
      <c r="S581" s="202"/>
      <c r="T581" s="203"/>
      <c r="U581" s="203"/>
      <c r="V581" s="203"/>
      <c r="W581" s="192"/>
      <c r="X581" s="192"/>
      <c r="Y581" s="190"/>
      <c r="Z581" s="193"/>
      <c r="AA581" s="190"/>
      <c r="AB581" s="190"/>
      <c r="AC581" s="190"/>
    </row>
    <row r="582" spans="13:29" ht="15.5" x14ac:dyDescent="0.35">
      <c r="M582" s="329"/>
      <c r="N582" s="158"/>
      <c r="O582" s="199"/>
      <c r="P582" s="200"/>
      <c r="Q582" s="201"/>
      <c r="R582" s="208"/>
      <c r="S582" s="202"/>
      <c r="T582" s="339"/>
      <c r="U582" s="203"/>
      <c r="V582" s="203"/>
      <c r="W582" s="192"/>
      <c r="X582" s="192"/>
      <c r="Y582" s="190"/>
      <c r="Z582" s="193"/>
      <c r="AA582" s="190"/>
      <c r="AB582" s="190"/>
      <c r="AC582" s="190"/>
    </row>
    <row r="583" spans="13:29" ht="15.5" x14ac:dyDescent="0.35">
      <c r="M583" s="329"/>
      <c r="N583" s="158"/>
      <c r="O583" s="158"/>
      <c r="P583" s="184"/>
      <c r="Q583" s="185"/>
      <c r="R583" s="186"/>
      <c r="S583" s="187"/>
      <c r="T583" s="188"/>
      <c r="U583" s="188"/>
      <c r="V583" s="188"/>
      <c r="W583" s="189"/>
      <c r="X583" s="189"/>
      <c r="Y583" s="190"/>
      <c r="Z583" s="191"/>
      <c r="AA583" s="190"/>
      <c r="AB583" s="204"/>
      <c r="AC583" s="190"/>
    </row>
    <row r="584" spans="13:29" ht="15.5" x14ac:dyDescent="0.35">
      <c r="M584" s="329"/>
      <c r="N584" s="158"/>
      <c r="O584" s="158"/>
      <c r="P584" s="184"/>
      <c r="Q584" s="185"/>
      <c r="R584" s="186"/>
      <c r="S584" s="187"/>
      <c r="T584" s="173"/>
      <c r="U584" s="192"/>
      <c r="V584" s="192"/>
      <c r="W584" s="189"/>
      <c r="X584" s="189"/>
      <c r="Y584" s="190"/>
      <c r="Z584" s="193"/>
      <c r="AA584" s="190"/>
      <c r="AB584" s="190"/>
      <c r="AC584" s="190"/>
    </row>
    <row r="585" spans="13:29" ht="15.5" x14ac:dyDescent="0.35">
      <c r="M585" s="329"/>
      <c r="N585" s="158"/>
      <c r="O585" s="199"/>
      <c r="P585" s="200"/>
      <c r="Q585" s="201"/>
      <c r="R585" s="195"/>
      <c r="S585" s="202"/>
      <c r="T585" s="339"/>
      <c r="U585" s="203"/>
      <c r="V585" s="203"/>
      <c r="W585" s="192"/>
      <c r="X585" s="192"/>
      <c r="Y585" s="190"/>
      <c r="Z585" s="193"/>
      <c r="AA585" s="190"/>
      <c r="AB585" s="190"/>
      <c r="AC585" s="190"/>
    </row>
    <row r="586" spans="13:29" ht="15.5" x14ac:dyDescent="0.35">
      <c r="M586" s="329"/>
      <c r="N586" s="158"/>
      <c r="O586" s="158"/>
      <c r="P586" s="184"/>
      <c r="Q586" s="185"/>
      <c r="R586" s="195"/>
      <c r="S586" s="202"/>
      <c r="T586" s="340"/>
      <c r="U586" s="203"/>
      <c r="V586" s="203"/>
      <c r="W586" s="192"/>
      <c r="X586" s="192"/>
      <c r="Y586" s="190"/>
      <c r="Z586" s="193"/>
      <c r="AA586" s="190"/>
      <c r="AB586" s="190"/>
      <c r="AC586" s="190"/>
    </row>
    <row r="587" spans="13:29" ht="15.5" x14ac:dyDescent="0.35">
      <c r="M587" s="329"/>
      <c r="N587" s="158"/>
      <c r="O587" s="199"/>
      <c r="P587" s="200"/>
      <c r="Q587" s="201"/>
      <c r="R587" s="195"/>
      <c r="S587" s="202"/>
      <c r="T587" s="339"/>
      <c r="U587" s="203"/>
      <c r="V587" s="203"/>
      <c r="W587" s="192"/>
      <c r="X587" s="192"/>
      <c r="Y587" s="190"/>
      <c r="Z587" s="193"/>
      <c r="AA587" s="190"/>
      <c r="AB587" s="190"/>
      <c r="AC587" s="190"/>
    </row>
    <row r="588" spans="13:29" ht="15.5" x14ac:dyDescent="0.35">
      <c r="M588" s="329"/>
      <c r="N588" s="158"/>
      <c r="O588" s="199"/>
      <c r="P588" s="200"/>
      <c r="Q588" s="201"/>
      <c r="R588" s="208"/>
      <c r="S588" s="202"/>
      <c r="T588" s="203"/>
      <c r="U588" s="203"/>
      <c r="V588" s="203"/>
      <c r="W588" s="192"/>
      <c r="X588" s="192"/>
      <c r="Y588" s="190"/>
      <c r="Z588" s="193"/>
      <c r="AA588" s="190"/>
      <c r="AB588" s="190"/>
      <c r="AC588" s="190"/>
    </row>
    <row r="589" spans="13:29" ht="15.5" x14ac:dyDescent="0.35">
      <c r="M589" s="329"/>
      <c r="N589" s="158"/>
      <c r="O589" s="199"/>
      <c r="P589" s="200"/>
      <c r="Q589" s="201"/>
      <c r="R589" s="195"/>
      <c r="S589" s="202"/>
      <c r="T589" s="203"/>
      <c r="U589" s="203"/>
      <c r="V589" s="203"/>
      <c r="W589" s="192"/>
      <c r="X589" s="192"/>
      <c r="Y589" s="190"/>
      <c r="Z589" s="193"/>
      <c r="AA589" s="190"/>
      <c r="AB589" s="190"/>
      <c r="AC589" s="190"/>
    </row>
    <row r="590" spans="13:29" ht="15.5" x14ac:dyDescent="0.35">
      <c r="M590" s="329"/>
      <c r="N590" s="158"/>
      <c r="O590" s="199"/>
      <c r="P590" s="200"/>
      <c r="Q590" s="201"/>
      <c r="R590" s="208"/>
      <c r="S590" s="202"/>
      <c r="T590" s="339"/>
      <c r="U590" s="203"/>
      <c r="V590" s="203"/>
      <c r="W590" s="192"/>
      <c r="X590" s="192"/>
      <c r="Y590" s="190"/>
      <c r="Z590" s="193"/>
      <c r="AA590" s="190"/>
      <c r="AB590" s="190"/>
      <c r="AC590" s="190"/>
    </row>
    <row r="591" spans="13:29" ht="15.5" x14ac:dyDescent="0.35">
      <c r="M591" s="329"/>
      <c r="N591" s="158"/>
      <c r="O591" s="158"/>
      <c r="P591" s="184"/>
      <c r="Q591" s="185"/>
      <c r="R591" s="186"/>
      <c r="S591" s="187"/>
      <c r="T591" s="340"/>
      <c r="U591" s="188"/>
      <c r="V591" s="188"/>
      <c r="W591" s="189"/>
      <c r="X591" s="189"/>
      <c r="Y591" s="190"/>
      <c r="Z591" s="191"/>
      <c r="AA591" s="190"/>
      <c r="AB591" s="204"/>
      <c r="AC591" s="190"/>
    </row>
    <row r="592" spans="13:29" ht="15.5" x14ac:dyDescent="0.35">
      <c r="M592" s="329"/>
      <c r="N592" s="158"/>
      <c r="O592" s="199"/>
      <c r="P592" s="218"/>
      <c r="Q592" s="219"/>
      <c r="R592" s="208"/>
      <c r="S592" s="202"/>
      <c r="T592" s="220"/>
      <c r="U592" s="203"/>
      <c r="V592" s="203"/>
      <c r="W592" s="192"/>
      <c r="X592" s="192"/>
      <c r="Y592" s="190"/>
      <c r="Z592" s="193"/>
      <c r="AA592" s="190"/>
      <c r="AB592" s="190"/>
      <c r="AC592" s="190"/>
    </row>
    <row r="593" spans="13:29" ht="15.5" x14ac:dyDescent="0.35">
      <c r="M593" s="329"/>
      <c r="N593" s="158"/>
      <c r="O593" s="199"/>
      <c r="P593" s="200"/>
      <c r="Q593" s="201"/>
      <c r="R593" s="208"/>
      <c r="S593" s="202"/>
      <c r="T593" s="203"/>
      <c r="U593" s="203"/>
      <c r="V593" s="203"/>
      <c r="W593" s="192"/>
      <c r="X593" s="192"/>
      <c r="Y593" s="190"/>
      <c r="Z593" s="193"/>
      <c r="AA593" s="190"/>
      <c r="AB593" s="190"/>
      <c r="AC593" s="190"/>
    </row>
    <row r="594" spans="13:29" ht="15.5" x14ac:dyDescent="0.35">
      <c r="M594" s="329"/>
      <c r="N594" s="158"/>
      <c r="O594" s="199"/>
      <c r="P594" s="200"/>
      <c r="Q594" s="201"/>
      <c r="R594" s="208"/>
      <c r="S594" s="202"/>
      <c r="T594" s="339"/>
      <c r="U594" s="203"/>
      <c r="V594" s="203"/>
      <c r="W594" s="192"/>
      <c r="X594" s="192"/>
      <c r="Y594" s="190"/>
      <c r="Z594" s="193"/>
      <c r="AA594" s="190"/>
      <c r="AB594" s="190"/>
      <c r="AC594" s="190"/>
    </row>
    <row r="595" spans="13:29" ht="15.5" x14ac:dyDescent="0.35">
      <c r="M595" s="329"/>
      <c r="N595" s="158"/>
      <c r="O595" s="199"/>
      <c r="P595" s="200"/>
      <c r="Q595" s="201"/>
      <c r="R595" s="208"/>
      <c r="S595" s="202"/>
      <c r="T595" s="203"/>
      <c r="U595" s="203"/>
      <c r="V595" s="203"/>
      <c r="W595" s="192"/>
      <c r="X595" s="192"/>
      <c r="Y595" s="190"/>
      <c r="Z595" s="193"/>
      <c r="AA595" s="190"/>
      <c r="AB595" s="190"/>
      <c r="AC595" s="190"/>
    </row>
    <row r="596" spans="13:29" ht="15.5" x14ac:dyDescent="0.35">
      <c r="M596" s="329"/>
      <c r="N596" s="158"/>
      <c r="O596" s="199"/>
      <c r="P596" s="200"/>
      <c r="Q596" s="201"/>
      <c r="R596" s="208"/>
      <c r="S596" s="202"/>
      <c r="T596" s="203"/>
      <c r="U596" s="203"/>
      <c r="V596" s="203"/>
      <c r="W596" s="192"/>
      <c r="X596" s="192"/>
      <c r="Y596" s="190"/>
      <c r="Z596" s="193"/>
      <c r="AA596" s="190"/>
      <c r="AB596" s="190"/>
      <c r="AC596" s="190"/>
    </row>
    <row r="597" spans="13:29" ht="15.5" x14ac:dyDescent="0.35">
      <c r="M597" s="329"/>
      <c r="N597" s="158"/>
      <c r="O597" s="158"/>
      <c r="P597" s="168"/>
      <c r="Q597" s="194"/>
      <c r="R597" s="195"/>
      <c r="S597" s="195"/>
      <c r="T597" s="192"/>
      <c r="U597" s="192"/>
      <c r="V597" s="192"/>
      <c r="W597" s="192"/>
      <c r="X597" s="192"/>
      <c r="Y597" s="222"/>
      <c r="Z597" s="223"/>
      <c r="AA597" s="222"/>
      <c r="AB597" s="222"/>
      <c r="AC597" s="224"/>
    </row>
    <row r="598" spans="13:29" ht="15.5" x14ac:dyDescent="0.35">
      <c r="M598" s="329"/>
      <c r="N598" s="221"/>
      <c r="O598" s="158"/>
      <c r="P598" s="168"/>
      <c r="Q598" s="194"/>
      <c r="R598" s="195"/>
      <c r="S598" s="195"/>
      <c r="T598" s="192"/>
      <c r="U598" s="192"/>
      <c r="V598" s="192"/>
      <c r="W598" s="192"/>
      <c r="X598" s="192"/>
      <c r="Y598" s="222"/>
      <c r="Z598" s="223"/>
      <c r="AA598" s="222"/>
      <c r="AB598" s="222"/>
      <c r="AC598" s="190"/>
    </row>
    <row r="599" spans="13:29" ht="15.5" x14ac:dyDescent="0.35">
      <c r="M599" s="329"/>
      <c r="N599" s="158"/>
      <c r="O599" s="199"/>
      <c r="P599" s="200"/>
      <c r="Q599" s="201"/>
      <c r="R599" s="208"/>
      <c r="S599" s="202"/>
      <c r="T599" s="339"/>
      <c r="U599" s="203"/>
      <c r="V599" s="203"/>
      <c r="W599" s="192"/>
      <c r="X599" s="192"/>
      <c r="Y599" s="190"/>
      <c r="Z599" s="193"/>
      <c r="AA599" s="190"/>
      <c r="AB599" s="190"/>
      <c r="AC599" s="190"/>
    </row>
    <row r="600" spans="13:29" ht="15.5" x14ac:dyDescent="0.35">
      <c r="M600" s="329"/>
      <c r="N600" s="158"/>
      <c r="O600" s="199"/>
      <c r="P600" s="200"/>
      <c r="Q600" s="201"/>
      <c r="R600" s="195"/>
      <c r="S600" s="202"/>
      <c r="T600" s="203"/>
      <c r="U600" s="203"/>
      <c r="V600" s="203"/>
      <c r="W600" s="192"/>
      <c r="X600" s="192"/>
      <c r="Y600" s="190"/>
      <c r="Z600" s="193"/>
      <c r="AA600" s="190"/>
      <c r="AB600" s="190"/>
      <c r="AC600" s="190"/>
    </row>
    <row r="601" spans="13:29" ht="15.5" x14ac:dyDescent="0.35">
      <c r="M601" s="329"/>
      <c r="N601" s="158"/>
      <c r="O601" s="199"/>
      <c r="P601" s="200"/>
      <c r="Q601" s="201"/>
      <c r="R601" s="208"/>
      <c r="S601" s="202"/>
      <c r="T601" s="339"/>
      <c r="U601" s="203"/>
      <c r="V601" s="203"/>
      <c r="W601" s="192"/>
      <c r="X601" s="192"/>
      <c r="Y601" s="190"/>
      <c r="Z601" s="193"/>
      <c r="AA601" s="190"/>
      <c r="AB601" s="190"/>
      <c r="AC601" s="190"/>
    </row>
    <row r="602" spans="13:29" ht="15.5" x14ac:dyDescent="0.35">
      <c r="M602" s="329"/>
      <c r="N602" s="158"/>
      <c r="O602" s="205"/>
      <c r="P602" s="209"/>
      <c r="Q602" s="210"/>
      <c r="R602" s="208"/>
      <c r="S602" s="202"/>
      <c r="T602" s="211"/>
      <c r="U602" s="203"/>
      <c r="V602" s="203"/>
      <c r="W602" s="192"/>
      <c r="X602" s="192"/>
      <c r="Y602" s="190"/>
      <c r="Z602" s="193"/>
      <c r="AA602" s="190"/>
      <c r="AB602" s="190"/>
      <c r="AC602" s="190"/>
    </row>
    <row r="603" spans="13:29" ht="15.5" x14ac:dyDescent="0.35">
      <c r="M603" s="329"/>
      <c r="N603" s="158"/>
      <c r="O603" s="199"/>
      <c r="P603" s="200"/>
      <c r="Q603" s="201"/>
      <c r="R603" s="208"/>
      <c r="S603" s="202"/>
      <c r="T603" s="339"/>
      <c r="U603" s="203"/>
      <c r="V603" s="203"/>
      <c r="W603" s="192"/>
      <c r="X603" s="192"/>
      <c r="Y603" s="190"/>
      <c r="Z603" s="193"/>
      <c r="AA603" s="190"/>
      <c r="AB603" s="190"/>
      <c r="AC603" s="190"/>
    </row>
    <row r="604" spans="13:29" ht="15.5" x14ac:dyDescent="0.35">
      <c r="M604" s="329"/>
      <c r="N604" s="158"/>
      <c r="O604" s="158"/>
      <c r="P604" s="184"/>
      <c r="Q604" s="185"/>
      <c r="R604" s="208"/>
      <c r="S604" s="202"/>
      <c r="T604" s="189"/>
      <c r="U604" s="203"/>
      <c r="V604" s="203"/>
      <c r="W604" s="192"/>
      <c r="X604" s="192"/>
      <c r="Y604" s="190"/>
      <c r="Z604" s="193"/>
      <c r="AA604" s="190"/>
      <c r="AB604" s="190"/>
      <c r="AC604" s="190"/>
    </row>
    <row r="605" spans="13:29" ht="15.5" x14ac:dyDescent="0.35">
      <c r="M605" s="329"/>
      <c r="N605" s="158"/>
      <c r="O605" s="158"/>
      <c r="P605" s="184"/>
      <c r="Q605" s="185"/>
      <c r="R605" s="186"/>
      <c r="S605" s="187"/>
      <c r="T605" s="173"/>
      <c r="U605" s="192"/>
      <c r="V605" s="192"/>
      <c r="W605" s="189"/>
      <c r="X605" s="189"/>
      <c r="Y605" s="190"/>
      <c r="Z605" s="193"/>
      <c r="AA605" s="190"/>
      <c r="AB605" s="190"/>
      <c r="AC605" s="190"/>
    </row>
    <row r="606" spans="13:29" ht="15.5" x14ac:dyDescent="0.35">
      <c r="M606" s="329"/>
      <c r="N606" s="158"/>
      <c r="O606" s="158"/>
      <c r="P606" s="184"/>
      <c r="Q606" s="185"/>
      <c r="R606" s="186"/>
      <c r="S606" s="187"/>
      <c r="T606" s="173"/>
      <c r="U606" s="192"/>
      <c r="V606" s="192"/>
      <c r="W606" s="189"/>
      <c r="X606" s="189"/>
      <c r="Y606" s="190"/>
      <c r="Z606" s="193"/>
      <c r="AA606" s="190"/>
      <c r="AB606" s="190"/>
      <c r="AC606" s="190"/>
    </row>
    <row r="607" spans="13:29" ht="15.5" x14ac:dyDescent="0.35">
      <c r="M607" s="329"/>
      <c r="N607" s="158"/>
      <c r="O607" s="205"/>
      <c r="P607" s="209"/>
      <c r="Q607" s="210"/>
      <c r="R607" s="208"/>
      <c r="S607" s="202"/>
      <c r="T607" s="331"/>
      <c r="U607" s="203"/>
      <c r="V607" s="203"/>
      <c r="W607" s="192"/>
      <c r="X607" s="192"/>
      <c r="Y607" s="190"/>
      <c r="Z607" s="193"/>
      <c r="AA607" s="190"/>
      <c r="AB607" s="190"/>
      <c r="AC607" s="190"/>
    </row>
    <row r="608" spans="13:29" ht="15.5" x14ac:dyDescent="0.35">
      <c r="M608" s="329"/>
      <c r="N608" s="158"/>
      <c r="O608" s="199"/>
      <c r="P608" s="200"/>
      <c r="Q608" s="201"/>
      <c r="R608" s="208"/>
      <c r="S608" s="202"/>
      <c r="T608" s="203"/>
      <c r="U608" s="203"/>
      <c r="V608" s="203"/>
      <c r="W608" s="192"/>
      <c r="X608" s="192"/>
      <c r="Y608" s="190"/>
      <c r="Z608" s="193"/>
      <c r="AA608" s="190"/>
      <c r="AB608" s="190"/>
      <c r="AC608" s="190"/>
    </row>
    <row r="609" spans="13:29" ht="15.5" x14ac:dyDescent="0.35">
      <c r="M609" s="329"/>
      <c r="N609" s="158"/>
      <c r="O609" s="199"/>
      <c r="P609" s="200"/>
      <c r="Q609" s="201"/>
      <c r="R609" s="208"/>
      <c r="S609" s="202"/>
      <c r="T609" s="203"/>
      <c r="U609" s="203"/>
      <c r="V609" s="203"/>
      <c r="W609" s="192"/>
      <c r="X609" s="192"/>
      <c r="Y609" s="190"/>
      <c r="Z609" s="193"/>
      <c r="AA609" s="190"/>
      <c r="AB609" s="190"/>
      <c r="AC609" s="190"/>
    </row>
    <row r="610" spans="13:29" ht="15.5" x14ac:dyDescent="0.35">
      <c r="M610" s="329"/>
      <c r="N610" s="158"/>
      <c r="O610" s="199"/>
      <c r="P610" s="200"/>
      <c r="Q610" s="201"/>
      <c r="R610" s="208"/>
      <c r="S610" s="202"/>
      <c r="T610" s="203"/>
      <c r="U610" s="203"/>
      <c r="V610" s="203"/>
      <c r="W610" s="192"/>
      <c r="X610" s="192"/>
      <c r="Y610" s="190"/>
      <c r="Z610" s="193"/>
      <c r="AA610" s="190"/>
      <c r="AB610" s="190"/>
      <c r="AC610" s="190"/>
    </row>
    <row r="611" spans="13:29" ht="15.5" x14ac:dyDescent="0.35">
      <c r="M611" s="329"/>
      <c r="N611" s="158"/>
      <c r="O611" s="158"/>
      <c r="P611" s="184"/>
      <c r="Q611" s="185"/>
      <c r="R611" s="186"/>
      <c r="S611" s="187"/>
      <c r="T611" s="173"/>
      <c r="U611" s="192"/>
      <c r="V611" s="192"/>
      <c r="W611" s="189"/>
      <c r="X611" s="189"/>
      <c r="Y611" s="190"/>
      <c r="Z611" s="193"/>
      <c r="AA611" s="190"/>
      <c r="AB611" s="190"/>
      <c r="AC611" s="190"/>
    </row>
    <row r="612" spans="13:29" ht="15.5" x14ac:dyDescent="0.35">
      <c r="M612" s="329"/>
      <c r="N612" s="158"/>
      <c r="O612" s="199"/>
      <c r="P612" s="200"/>
      <c r="Q612" s="201"/>
      <c r="R612" s="195"/>
      <c r="S612" s="202"/>
      <c r="T612" s="339"/>
      <c r="U612" s="203"/>
      <c r="V612" s="203"/>
      <c r="W612" s="192"/>
      <c r="X612" s="192"/>
      <c r="Y612" s="190"/>
      <c r="Z612" s="193"/>
      <c r="AA612" s="190"/>
      <c r="AB612" s="190"/>
      <c r="AC612" s="190"/>
    </row>
    <row r="613" spans="13:29" ht="15.5" x14ac:dyDescent="0.35">
      <c r="M613" s="329"/>
      <c r="N613" s="158"/>
      <c r="O613" s="199"/>
      <c r="P613" s="200"/>
      <c r="Q613" s="201"/>
      <c r="R613" s="208"/>
      <c r="S613" s="202"/>
      <c r="T613" s="339"/>
      <c r="U613" s="203"/>
      <c r="V613" s="203"/>
      <c r="W613" s="192"/>
      <c r="X613" s="192"/>
      <c r="Y613" s="190"/>
      <c r="Z613" s="193"/>
      <c r="AA613" s="190"/>
      <c r="AB613" s="190"/>
      <c r="AC613" s="190"/>
    </row>
    <row r="614" spans="13:29" ht="15.5" x14ac:dyDescent="0.35">
      <c r="M614" s="329"/>
      <c r="N614" s="158"/>
      <c r="O614" s="158"/>
      <c r="P614" s="168"/>
      <c r="Q614" s="194"/>
      <c r="R614" s="195"/>
      <c r="S614" s="195"/>
      <c r="T614" s="192"/>
      <c r="U614" s="192"/>
      <c r="V614" s="192"/>
      <c r="W614" s="192"/>
      <c r="X614" s="192"/>
      <c r="Y614" s="190"/>
      <c r="Z614" s="196"/>
      <c r="AA614" s="190"/>
      <c r="AB614" s="197"/>
      <c r="AC614" s="190"/>
    </row>
    <row r="615" spans="13:29" ht="15.5" x14ac:dyDescent="0.35">
      <c r="M615" s="329"/>
      <c r="N615" s="158"/>
      <c r="O615" s="158"/>
      <c r="P615" s="184"/>
      <c r="Q615" s="185"/>
      <c r="R615" s="186"/>
      <c r="S615" s="187"/>
      <c r="T615" s="173"/>
      <c r="U615" s="192"/>
      <c r="V615" s="192"/>
      <c r="W615" s="189"/>
      <c r="X615" s="189"/>
      <c r="Y615" s="190"/>
      <c r="Z615" s="193"/>
      <c r="AA615" s="190"/>
      <c r="AB615" s="190"/>
      <c r="AC615" s="190"/>
    </row>
    <row r="616" spans="13:29" ht="15.5" x14ac:dyDescent="0.35">
      <c r="M616" s="329"/>
      <c r="N616" s="158"/>
      <c r="O616" s="199"/>
      <c r="P616" s="200"/>
      <c r="Q616" s="201"/>
      <c r="R616" s="195"/>
      <c r="S616" s="202"/>
      <c r="T616" s="339"/>
      <c r="U616" s="203"/>
      <c r="V616" s="203"/>
      <c r="W616" s="192"/>
      <c r="X616" s="192"/>
      <c r="Y616" s="190"/>
      <c r="Z616" s="193"/>
      <c r="AA616" s="190"/>
      <c r="AB616" s="190"/>
      <c r="AC616" s="190"/>
    </row>
    <row r="617" spans="13:29" ht="15.5" x14ac:dyDescent="0.35">
      <c r="M617" s="329"/>
      <c r="N617" s="158"/>
      <c r="O617" s="199"/>
      <c r="P617" s="218"/>
      <c r="Q617" s="219"/>
      <c r="R617" s="208"/>
      <c r="S617" s="202"/>
      <c r="T617" s="341"/>
      <c r="U617" s="203"/>
      <c r="V617" s="203"/>
      <c r="W617" s="192"/>
      <c r="X617" s="192"/>
      <c r="Y617" s="190"/>
      <c r="Z617" s="193"/>
      <c r="AA617" s="190"/>
      <c r="AB617" s="190"/>
      <c r="AC617" s="190"/>
    </row>
    <row r="618" spans="13:29" ht="15.5" x14ac:dyDescent="0.35">
      <c r="M618" s="329"/>
      <c r="N618" s="158"/>
      <c r="O618" s="199"/>
      <c r="P618" s="200"/>
      <c r="Q618" s="201"/>
      <c r="R618" s="208"/>
      <c r="S618" s="202"/>
      <c r="T618" s="203"/>
      <c r="U618" s="203"/>
      <c r="V618" s="203"/>
      <c r="W618" s="192"/>
      <c r="X618" s="192"/>
      <c r="Y618" s="190"/>
      <c r="Z618" s="193"/>
      <c r="AA618" s="190"/>
      <c r="AB618" s="190"/>
      <c r="AC618" s="190"/>
    </row>
    <row r="619" spans="13:29" ht="15.5" x14ac:dyDescent="0.35">
      <c r="M619" s="329"/>
      <c r="N619" s="158"/>
      <c r="O619" s="158"/>
      <c r="P619" s="168"/>
      <c r="Q619" s="194"/>
      <c r="R619" s="195"/>
      <c r="S619" s="195"/>
      <c r="T619" s="192"/>
      <c r="U619" s="192"/>
      <c r="V619" s="192"/>
      <c r="W619" s="192"/>
      <c r="X619" s="192"/>
      <c r="Y619" s="190"/>
      <c r="Z619" s="196"/>
      <c r="AA619" s="190"/>
      <c r="AB619" s="197"/>
      <c r="AC619" s="190"/>
    </row>
    <row r="620" spans="13:29" ht="15.5" x14ac:dyDescent="0.35">
      <c r="M620" s="329"/>
      <c r="N620" s="158"/>
      <c r="O620" s="158"/>
      <c r="P620" s="168"/>
      <c r="Q620" s="194"/>
      <c r="R620" s="195"/>
      <c r="S620" s="195"/>
      <c r="T620" s="192"/>
      <c r="U620" s="192"/>
      <c r="V620" s="192"/>
      <c r="W620" s="192"/>
      <c r="X620" s="192"/>
      <c r="Y620" s="190"/>
      <c r="Z620" s="196"/>
      <c r="AA620" s="190"/>
      <c r="AB620" s="197"/>
      <c r="AC620" s="190"/>
    </row>
    <row r="621" spans="13:29" ht="15.5" x14ac:dyDescent="0.35">
      <c r="M621" s="329"/>
      <c r="N621" s="158"/>
      <c r="O621" s="158"/>
      <c r="P621" s="168"/>
      <c r="Q621" s="194"/>
      <c r="R621" s="195"/>
      <c r="S621" s="195"/>
      <c r="T621" s="192"/>
      <c r="U621" s="192"/>
      <c r="V621" s="192"/>
      <c r="W621" s="192"/>
      <c r="X621" s="192"/>
      <c r="Y621" s="190"/>
      <c r="Z621" s="212"/>
      <c r="AA621" s="190"/>
      <c r="AB621" s="190"/>
      <c r="AC621" s="190"/>
    </row>
    <row r="622" spans="13:29" ht="15.5" x14ac:dyDescent="0.35">
      <c r="M622" s="329"/>
      <c r="N622" s="158"/>
      <c r="O622" s="199"/>
      <c r="P622" s="200"/>
      <c r="Q622" s="201"/>
      <c r="R622" s="208"/>
      <c r="S622" s="202"/>
      <c r="T622" s="203"/>
      <c r="U622" s="203"/>
      <c r="V622" s="203"/>
      <c r="W622" s="192"/>
      <c r="X622" s="192"/>
      <c r="Y622" s="190"/>
      <c r="Z622" s="193"/>
      <c r="AA622" s="190"/>
      <c r="AB622" s="190"/>
      <c r="AC622" s="190"/>
    </row>
    <row r="623" spans="13:29" ht="15.5" x14ac:dyDescent="0.35">
      <c r="M623" s="329"/>
      <c r="N623" s="158"/>
      <c r="O623" s="205"/>
      <c r="P623" s="209"/>
      <c r="Q623" s="210"/>
      <c r="R623" s="208"/>
      <c r="S623" s="202"/>
      <c r="T623" s="331"/>
      <c r="U623" s="203"/>
      <c r="V623" s="203"/>
      <c r="W623" s="192"/>
      <c r="X623" s="192"/>
      <c r="Y623" s="190"/>
      <c r="Z623" s="193"/>
      <c r="AA623" s="190"/>
      <c r="AB623" s="190"/>
      <c r="AC623" s="190"/>
    </row>
    <row r="624" spans="13:29" ht="15.5" x14ac:dyDescent="0.35">
      <c r="M624" s="329"/>
      <c r="N624" s="158"/>
      <c r="O624" s="199"/>
      <c r="P624" s="200"/>
      <c r="Q624" s="201"/>
      <c r="R624" s="208"/>
      <c r="S624" s="202"/>
      <c r="T624" s="339"/>
      <c r="U624" s="203"/>
      <c r="V624" s="203"/>
      <c r="W624" s="192"/>
      <c r="X624" s="192"/>
      <c r="Y624" s="190"/>
      <c r="Z624" s="193"/>
      <c r="AA624" s="190"/>
      <c r="AB624" s="190"/>
      <c r="AC624" s="190"/>
    </row>
    <row r="625" spans="13:29" ht="15.5" x14ac:dyDescent="0.35">
      <c r="M625" s="329"/>
      <c r="N625" s="158"/>
      <c r="O625" s="199"/>
      <c r="P625" s="200"/>
      <c r="Q625" s="201"/>
      <c r="R625" s="208"/>
      <c r="S625" s="202"/>
      <c r="T625" s="203"/>
      <c r="U625" s="203"/>
      <c r="V625" s="203"/>
      <c r="W625" s="192"/>
      <c r="X625" s="192"/>
      <c r="Y625" s="190"/>
      <c r="Z625" s="193"/>
      <c r="AA625" s="190"/>
      <c r="AB625" s="190"/>
      <c r="AC625" s="190"/>
    </row>
    <row r="626" spans="13:29" ht="15.5" x14ac:dyDescent="0.35">
      <c r="M626" s="329"/>
      <c r="N626" s="158"/>
      <c r="O626" s="199"/>
      <c r="P626" s="200"/>
      <c r="Q626" s="201"/>
      <c r="R626" s="208"/>
      <c r="S626" s="202"/>
      <c r="T626" s="339"/>
      <c r="U626" s="203"/>
      <c r="V626" s="203"/>
      <c r="W626" s="192"/>
      <c r="X626" s="192"/>
      <c r="Y626" s="190"/>
      <c r="Z626" s="193"/>
      <c r="AA626" s="190"/>
      <c r="AB626" s="190"/>
      <c r="AC626" s="190"/>
    </row>
    <row r="627" spans="13:29" ht="15.5" x14ac:dyDescent="0.35">
      <c r="M627" s="329"/>
      <c r="N627" s="158"/>
      <c r="O627" s="199"/>
      <c r="P627" s="200"/>
      <c r="Q627" s="201"/>
      <c r="R627" s="208"/>
      <c r="S627" s="202"/>
      <c r="T627" s="203"/>
      <c r="U627" s="203"/>
      <c r="V627" s="203"/>
      <c r="W627" s="192"/>
      <c r="X627" s="192"/>
      <c r="Y627" s="190"/>
      <c r="Z627" s="193"/>
      <c r="AA627" s="190"/>
      <c r="AB627" s="190"/>
      <c r="AC627" s="190"/>
    </row>
    <row r="628" spans="13:29" ht="15.5" x14ac:dyDescent="0.35">
      <c r="M628" s="329"/>
      <c r="N628" s="158"/>
      <c r="O628" s="199"/>
      <c r="P628" s="200"/>
      <c r="Q628" s="201"/>
      <c r="R628" s="186"/>
      <c r="S628" s="202"/>
      <c r="T628" s="339"/>
      <c r="U628" s="203"/>
      <c r="V628" s="203"/>
      <c r="W628" s="192"/>
      <c r="X628" s="192"/>
      <c r="Y628" s="190"/>
      <c r="Z628" s="193"/>
      <c r="AA628" s="190"/>
      <c r="AB628" s="190"/>
      <c r="AC628" s="190"/>
    </row>
    <row r="629" spans="13:29" ht="15.5" x14ac:dyDescent="0.35">
      <c r="M629" s="329"/>
      <c r="N629" s="158"/>
      <c r="O629" s="199"/>
      <c r="P629" s="200"/>
      <c r="Q629" s="201"/>
      <c r="R629" s="208"/>
      <c r="S629" s="202"/>
      <c r="T629" s="203"/>
      <c r="U629" s="203"/>
      <c r="V629" s="203"/>
      <c r="W629" s="192"/>
      <c r="X629" s="192"/>
      <c r="Y629" s="190"/>
      <c r="Z629" s="193"/>
      <c r="AA629" s="190"/>
      <c r="AB629" s="190"/>
      <c r="AC629" s="190"/>
    </row>
    <row r="630" spans="13:29" ht="15.5" x14ac:dyDescent="0.35">
      <c r="M630" s="329"/>
      <c r="N630" s="158"/>
      <c r="O630" s="205"/>
      <c r="P630" s="209"/>
      <c r="Q630" s="210"/>
      <c r="R630" s="208"/>
      <c r="S630" s="202"/>
      <c r="T630" s="331"/>
      <c r="U630" s="203"/>
      <c r="V630" s="203"/>
      <c r="W630" s="192"/>
      <c r="X630" s="192"/>
      <c r="Y630" s="190"/>
      <c r="Z630" s="193"/>
      <c r="AA630" s="190"/>
      <c r="AB630" s="190"/>
      <c r="AC630" s="190"/>
    </row>
    <row r="631" spans="13:29" ht="15.5" x14ac:dyDescent="0.35">
      <c r="M631" s="329"/>
      <c r="N631" s="158"/>
      <c r="O631" s="205"/>
      <c r="P631" s="209"/>
      <c r="Q631" s="210"/>
      <c r="R631" s="208"/>
      <c r="S631" s="202"/>
      <c r="T631" s="211"/>
      <c r="U631" s="203"/>
      <c r="V631" s="203"/>
      <c r="W631" s="192"/>
      <c r="X631" s="192"/>
      <c r="Y631" s="190"/>
      <c r="Z631" s="193"/>
      <c r="AA631" s="190"/>
      <c r="AB631" s="190"/>
      <c r="AC631" s="190"/>
    </row>
    <row r="632" spans="13:29" ht="15.5" x14ac:dyDescent="0.35">
      <c r="M632" s="329"/>
      <c r="N632" s="158"/>
      <c r="O632" s="199"/>
      <c r="P632" s="200"/>
      <c r="Q632" s="201"/>
      <c r="R632" s="208"/>
      <c r="S632" s="202"/>
      <c r="T632" s="203"/>
      <c r="U632" s="203"/>
      <c r="V632" s="203"/>
      <c r="W632" s="192"/>
      <c r="X632" s="192"/>
      <c r="Y632" s="190"/>
      <c r="Z632" s="193"/>
      <c r="AA632" s="190"/>
      <c r="AB632" s="190"/>
      <c r="AC632" s="190"/>
    </row>
    <row r="633" spans="13:29" ht="15.5" x14ac:dyDescent="0.35">
      <c r="M633" s="329"/>
      <c r="N633" s="158"/>
      <c r="O633" s="199"/>
      <c r="P633" s="200"/>
      <c r="Q633" s="201"/>
      <c r="R633" s="208"/>
      <c r="S633" s="202"/>
      <c r="T633" s="203"/>
      <c r="U633" s="203"/>
      <c r="V633" s="203"/>
      <c r="W633" s="192"/>
      <c r="X633" s="192"/>
      <c r="Y633" s="190"/>
      <c r="Z633" s="193"/>
      <c r="AA633" s="190"/>
      <c r="AB633" s="190"/>
      <c r="AC633" s="190"/>
    </row>
    <row r="634" spans="13:29" ht="15.5" x14ac:dyDescent="0.35">
      <c r="M634" s="329"/>
      <c r="N634" s="158"/>
      <c r="O634" s="205"/>
      <c r="P634" s="206"/>
      <c r="Q634" s="207"/>
      <c r="R634" s="208"/>
      <c r="S634" s="202"/>
      <c r="T634" s="346"/>
      <c r="U634" s="203"/>
      <c r="V634" s="203"/>
      <c r="W634" s="192"/>
      <c r="X634" s="192"/>
      <c r="Y634" s="190"/>
      <c r="Z634" s="193"/>
      <c r="AA634" s="190"/>
      <c r="AB634" s="190"/>
      <c r="AC634" s="190"/>
    </row>
    <row r="635" spans="13:29" ht="15.5" x14ac:dyDescent="0.35">
      <c r="M635" s="329"/>
      <c r="N635" s="158"/>
      <c r="O635" s="158"/>
      <c r="P635" s="184"/>
      <c r="Q635" s="185"/>
      <c r="R635" s="186"/>
      <c r="S635" s="187"/>
      <c r="T635" s="330"/>
      <c r="U635" s="192"/>
      <c r="V635" s="192"/>
      <c r="W635" s="189"/>
      <c r="X635" s="189"/>
      <c r="Y635" s="190"/>
      <c r="Z635" s="193"/>
      <c r="AA635" s="190"/>
      <c r="AB635" s="190"/>
      <c r="AC635" s="190"/>
    </row>
    <row r="636" spans="13:29" ht="15.5" x14ac:dyDescent="0.35">
      <c r="M636" s="329"/>
      <c r="N636" s="158"/>
      <c r="O636" s="158"/>
      <c r="P636" s="168"/>
      <c r="Q636" s="194"/>
      <c r="R636" s="195"/>
      <c r="S636" s="195"/>
      <c r="T636" s="330"/>
      <c r="U636" s="192"/>
      <c r="V636" s="192"/>
      <c r="W636" s="192"/>
      <c r="X636" s="192"/>
      <c r="Y636" s="190"/>
      <c r="Z636" s="196"/>
      <c r="AA636" s="190"/>
      <c r="AB636" s="197"/>
      <c r="AC636" s="190"/>
    </row>
    <row r="637" spans="13:29" ht="15.5" x14ac:dyDescent="0.35">
      <c r="M637" s="329"/>
      <c r="N637" s="158"/>
      <c r="O637" s="199"/>
      <c r="P637" s="200"/>
      <c r="Q637" s="201"/>
      <c r="R637" s="208"/>
      <c r="S637" s="202"/>
      <c r="T637" s="339"/>
      <c r="U637" s="203"/>
      <c r="V637" s="203"/>
      <c r="W637" s="192"/>
      <c r="X637" s="192"/>
      <c r="Y637" s="190"/>
      <c r="Z637" s="193"/>
      <c r="AA637" s="190"/>
      <c r="AB637" s="190"/>
      <c r="AC637" s="190"/>
    </row>
    <row r="638" spans="13:29" ht="15.5" x14ac:dyDescent="0.35">
      <c r="M638" s="329"/>
      <c r="N638" s="158"/>
      <c r="O638" s="158"/>
      <c r="P638" s="168"/>
      <c r="Q638" s="194"/>
      <c r="R638" s="195"/>
      <c r="S638" s="195"/>
      <c r="T638" s="342"/>
      <c r="U638" s="192"/>
      <c r="V638" s="192"/>
      <c r="W638" s="192"/>
      <c r="X638" s="192"/>
      <c r="Y638" s="190"/>
      <c r="Z638" s="196"/>
      <c r="AA638" s="190"/>
      <c r="AB638" s="197"/>
      <c r="AC638" s="190"/>
    </row>
    <row r="639" spans="13:29" ht="15.5" x14ac:dyDescent="0.35">
      <c r="M639" s="329"/>
      <c r="N639" s="158"/>
      <c r="O639" s="205"/>
      <c r="P639" s="209"/>
      <c r="Q639" s="210"/>
      <c r="R639" s="208"/>
      <c r="S639" s="202"/>
      <c r="T639" s="331"/>
      <c r="U639" s="203"/>
      <c r="V639" s="203"/>
      <c r="W639" s="192"/>
      <c r="X639" s="192"/>
      <c r="Y639" s="190"/>
      <c r="Z639" s="193"/>
      <c r="AA639" s="190"/>
      <c r="AB639" s="190"/>
      <c r="AC639" s="190"/>
    </row>
    <row r="640" spans="13:29" ht="15.5" x14ac:dyDescent="0.35">
      <c r="M640" s="329"/>
      <c r="N640" s="158"/>
      <c r="O640" s="158"/>
      <c r="P640" s="213"/>
      <c r="Q640" s="214"/>
      <c r="R640" s="208"/>
      <c r="S640" s="202"/>
      <c r="T640" s="345"/>
      <c r="U640" s="203"/>
      <c r="V640" s="203"/>
      <c r="W640" s="192"/>
      <c r="X640" s="192"/>
      <c r="Y640" s="190"/>
      <c r="Z640" s="193"/>
      <c r="AA640" s="190"/>
      <c r="AB640" s="190"/>
      <c r="AC640" s="190"/>
    </row>
    <row r="641" spans="13:29" ht="15.5" x14ac:dyDescent="0.35">
      <c r="M641" s="329"/>
      <c r="N641" s="158"/>
      <c r="O641" s="199"/>
      <c r="P641" s="200"/>
      <c r="Q641" s="201"/>
      <c r="R641" s="208"/>
      <c r="S641" s="202"/>
      <c r="T641" s="203"/>
      <c r="U641" s="203"/>
      <c r="V641" s="203"/>
      <c r="W641" s="192"/>
      <c r="X641" s="192"/>
      <c r="Y641" s="190"/>
      <c r="Z641" s="193"/>
      <c r="AA641" s="190"/>
      <c r="AB641" s="190"/>
      <c r="AC641" s="190"/>
    </row>
    <row r="642" spans="13:29" ht="15.5" x14ac:dyDescent="0.35">
      <c r="M642" s="329"/>
      <c r="N642" s="158"/>
      <c r="O642" s="199"/>
      <c r="P642" s="200"/>
      <c r="Q642" s="201"/>
      <c r="R642" s="195"/>
      <c r="S642" s="202"/>
      <c r="T642" s="339"/>
      <c r="U642" s="203"/>
      <c r="V642" s="203"/>
      <c r="W642" s="192"/>
      <c r="X642" s="192"/>
      <c r="Y642" s="190"/>
      <c r="Z642" s="193"/>
      <c r="AA642" s="190"/>
      <c r="AB642" s="190"/>
      <c r="AC642" s="190"/>
    </row>
    <row r="643" spans="13:29" ht="15.5" x14ac:dyDescent="0.35">
      <c r="M643" s="329"/>
      <c r="N643" s="158"/>
      <c r="O643" s="205"/>
      <c r="P643" s="209"/>
      <c r="Q643" s="210"/>
      <c r="R643" s="195"/>
      <c r="S643" s="202"/>
      <c r="T643" s="331"/>
      <c r="U643" s="203"/>
      <c r="V643" s="203"/>
      <c r="W643" s="192"/>
      <c r="X643" s="192"/>
      <c r="Y643" s="190"/>
      <c r="Z643" s="193"/>
      <c r="AA643" s="190"/>
      <c r="AB643" s="190"/>
      <c r="AC643" s="190"/>
    </row>
    <row r="644" spans="13:29" ht="15.5" x14ac:dyDescent="0.35">
      <c r="M644" s="329"/>
      <c r="N644" s="158"/>
      <c r="O644" s="205"/>
      <c r="P644" s="209"/>
      <c r="Q644" s="210"/>
      <c r="R644" s="208"/>
      <c r="S644" s="202"/>
      <c r="T644" s="211"/>
      <c r="U644" s="203"/>
      <c r="V644" s="203"/>
      <c r="W644" s="192"/>
      <c r="X644" s="192"/>
      <c r="Y644" s="190"/>
      <c r="Z644" s="193"/>
      <c r="AA644" s="190"/>
      <c r="AB644" s="190"/>
      <c r="AC644" s="190"/>
    </row>
    <row r="645" spans="13:29" ht="15.5" x14ac:dyDescent="0.35">
      <c r="M645" s="329"/>
      <c r="N645" s="158"/>
      <c r="O645" s="199"/>
      <c r="P645" s="200"/>
      <c r="Q645" s="201"/>
      <c r="R645" s="208"/>
      <c r="S645" s="202"/>
      <c r="T645" s="203"/>
      <c r="U645" s="203"/>
      <c r="V645" s="203"/>
      <c r="W645" s="192"/>
      <c r="X645" s="192"/>
      <c r="Y645" s="190"/>
      <c r="Z645" s="193"/>
      <c r="AA645" s="190"/>
      <c r="AB645" s="190"/>
      <c r="AC645" s="190"/>
    </row>
    <row r="646" spans="13:29" ht="15.5" x14ac:dyDescent="0.35">
      <c r="M646" s="329"/>
      <c r="N646" s="158"/>
      <c r="O646" s="158"/>
      <c r="P646" s="184"/>
      <c r="Q646" s="185"/>
      <c r="R646" s="208"/>
      <c r="S646" s="202"/>
      <c r="T646" s="340"/>
      <c r="U646" s="188"/>
      <c r="V646" s="188"/>
      <c r="W646" s="192"/>
      <c r="X646" s="192"/>
      <c r="Y646" s="190"/>
      <c r="Z646" s="193"/>
      <c r="AA646" s="190"/>
      <c r="AB646" s="190"/>
      <c r="AC646" s="190"/>
    </row>
    <row r="647" spans="13:29" ht="15.5" x14ac:dyDescent="0.35">
      <c r="M647" s="329"/>
      <c r="N647" s="198"/>
      <c r="O647" s="158"/>
      <c r="P647" s="184"/>
      <c r="Q647" s="185"/>
      <c r="R647" s="186"/>
      <c r="S647" s="187"/>
      <c r="T647" s="173"/>
      <c r="U647" s="192"/>
      <c r="V647" s="192"/>
      <c r="W647" s="189"/>
      <c r="X647" s="189"/>
      <c r="Y647" s="190"/>
      <c r="Z647" s="193"/>
      <c r="AA647" s="190"/>
      <c r="AB647" s="190"/>
      <c r="AC647" s="190"/>
    </row>
    <row r="648" spans="13:29" ht="15.5" x14ac:dyDescent="0.35">
      <c r="M648" s="329"/>
      <c r="N648" s="158"/>
      <c r="O648" s="199"/>
      <c r="P648" s="200"/>
      <c r="Q648" s="201"/>
      <c r="R648" s="208"/>
      <c r="S648" s="202"/>
      <c r="T648" s="339"/>
      <c r="U648" s="203"/>
      <c r="V648" s="203"/>
      <c r="W648" s="192"/>
      <c r="X648" s="192"/>
      <c r="Y648" s="190"/>
      <c r="Z648" s="193"/>
      <c r="AA648" s="190"/>
      <c r="AB648" s="190"/>
      <c r="AC648" s="190"/>
    </row>
    <row r="649" spans="13:29" ht="15.5" x14ac:dyDescent="0.35">
      <c r="M649" s="329"/>
      <c r="N649" s="158"/>
      <c r="O649" s="158"/>
      <c r="P649" s="184"/>
      <c r="Q649" s="185"/>
      <c r="R649" s="208"/>
      <c r="S649" s="202"/>
      <c r="T649" s="340"/>
      <c r="U649" s="203"/>
      <c r="V649" s="203"/>
      <c r="W649" s="192"/>
      <c r="X649" s="192"/>
      <c r="Y649" s="190"/>
      <c r="Z649" s="193"/>
      <c r="AA649" s="190"/>
      <c r="AB649" s="190"/>
      <c r="AC649" s="190"/>
    </row>
    <row r="650" spans="13:29" ht="15.5" x14ac:dyDescent="0.35">
      <c r="M650" s="329"/>
      <c r="N650" s="158"/>
      <c r="O650" s="158"/>
      <c r="P650" s="184"/>
      <c r="Q650" s="185"/>
      <c r="R650" s="208"/>
      <c r="S650" s="202"/>
      <c r="T650" s="189"/>
      <c r="U650" s="203"/>
      <c r="V650" s="203"/>
      <c r="W650" s="192"/>
      <c r="X650" s="192"/>
      <c r="Y650" s="190"/>
      <c r="Z650" s="193"/>
      <c r="AA650" s="190"/>
      <c r="AB650" s="190"/>
      <c r="AC650" s="190"/>
    </row>
    <row r="651" spans="13:29" ht="15.5" x14ac:dyDescent="0.35">
      <c r="M651" s="329"/>
      <c r="N651" s="158"/>
      <c r="O651" s="199"/>
      <c r="P651" s="200"/>
      <c r="Q651" s="201"/>
      <c r="R651" s="208"/>
      <c r="S651" s="202"/>
      <c r="T651" s="203"/>
      <c r="U651" s="203"/>
      <c r="V651" s="203"/>
      <c r="W651" s="192"/>
      <c r="X651" s="192"/>
      <c r="Y651" s="190"/>
      <c r="Z651" s="193"/>
      <c r="AA651" s="190"/>
      <c r="AB651" s="190"/>
      <c r="AC651" s="190"/>
    </row>
    <row r="652" spans="13:29" ht="15.5" x14ac:dyDescent="0.35">
      <c r="M652" s="329"/>
      <c r="N652" s="158"/>
      <c r="O652" s="158"/>
      <c r="P652" s="184"/>
      <c r="Q652" s="185"/>
      <c r="R652" s="186"/>
      <c r="S652" s="187"/>
      <c r="T652" s="173"/>
      <c r="U652" s="192"/>
      <c r="V652" s="192"/>
      <c r="W652" s="189"/>
      <c r="X652" s="189"/>
      <c r="Y652" s="190"/>
      <c r="Z652" s="193"/>
      <c r="AA652" s="190"/>
      <c r="AB652" s="190"/>
      <c r="AC652" s="190"/>
    </row>
    <row r="653" spans="13:29" ht="15.5" x14ac:dyDescent="0.35">
      <c r="M653" s="329"/>
      <c r="N653" s="158"/>
      <c r="O653" s="158"/>
      <c r="P653" s="168"/>
      <c r="Q653" s="194"/>
      <c r="R653" s="195"/>
      <c r="S653" s="202"/>
      <c r="T653" s="192"/>
      <c r="U653" s="192"/>
      <c r="V653" s="192"/>
      <c r="W653" s="192"/>
      <c r="X653" s="192"/>
      <c r="Y653" s="190"/>
      <c r="Z653" s="212"/>
      <c r="AA653" s="190"/>
      <c r="AB653" s="190"/>
      <c r="AC653" s="190"/>
    </row>
    <row r="654" spans="13:29" ht="15.5" x14ac:dyDescent="0.35">
      <c r="M654" s="329"/>
      <c r="N654" s="158"/>
      <c r="O654" s="199"/>
      <c r="P654" s="200"/>
      <c r="Q654" s="201"/>
      <c r="R654" s="208"/>
      <c r="S654" s="202"/>
      <c r="T654" s="339"/>
      <c r="U654" s="203"/>
      <c r="V654" s="203"/>
      <c r="W654" s="192"/>
      <c r="X654" s="192"/>
      <c r="Y654" s="190"/>
      <c r="Z654" s="193"/>
      <c r="AA654" s="190"/>
      <c r="AB654" s="190"/>
      <c r="AC654" s="190"/>
    </row>
    <row r="655" spans="13:29" ht="15.5" x14ac:dyDescent="0.35">
      <c r="M655" s="329"/>
      <c r="N655" s="158"/>
      <c r="O655" s="199"/>
      <c r="P655" s="200"/>
      <c r="Q655" s="201"/>
      <c r="R655" s="208"/>
      <c r="S655" s="202"/>
      <c r="T655" s="203"/>
      <c r="U655" s="203"/>
      <c r="V655" s="203"/>
      <c r="W655" s="192"/>
      <c r="X655" s="192"/>
      <c r="Y655" s="190"/>
      <c r="Z655" s="193"/>
      <c r="AA655" s="190"/>
      <c r="AB655" s="190"/>
      <c r="AC655" s="190"/>
    </row>
    <row r="656" spans="13:29" ht="15.5" x14ac:dyDescent="0.35">
      <c r="M656" s="329"/>
      <c r="N656" s="158"/>
      <c r="O656" s="158"/>
      <c r="P656" s="184"/>
      <c r="Q656" s="185"/>
      <c r="R656" s="186"/>
      <c r="S656" s="187"/>
      <c r="T656" s="188"/>
      <c r="U656" s="188"/>
      <c r="V656" s="188"/>
      <c r="W656" s="189"/>
      <c r="X656" s="189"/>
      <c r="Y656" s="190"/>
      <c r="Z656" s="191"/>
      <c r="AA656" s="190"/>
      <c r="AB656" s="204"/>
      <c r="AC656" s="190"/>
    </row>
    <row r="657" spans="13:29" ht="15.5" x14ac:dyDescent="0.35">
      <c r="M657" s="329"/>
      <c r="N657" s="158"/>
      <c r="O657" s="158"/>
      <c r="P657" s="184"/>
      <c r="Q657" s="185"/>
      <c r="R657" s="208"/>
      <c r="S657" s="202"/>
      <c r="T657" s="189"/>
      <c r="U657" s="203"/>
      <c r="V657" s="203"/>
      <c r="W657" s="192"/>
      <c r="X657" s="192"/>
      <c r="Y657" s="190"/>
      <c r="Z657" s="193"/>
      <c r="AA657" s="190"/>
      <c r="AB657" s="190"/>
      <c r="AC657" s="229"/>
    </row>
    <row r="658" spans="13:29" ht="15.5" x14ac:dyDescent="0.35">
      <c r="M658" s="329"/>
      <c r="N658" s="158"/>
      <c r="O658" s="199"/>
      <c r="P658" s="200"/>
      <c r="Q658" s="201"/>
      <c r="R658" s="186"/>
      <c r="S658" s="202"/>
      <c r="T658" s="203"/>
      <c r="U658" s="203"/>
      <c r="V658" s="203"/>
      <c r="W658" s="192"/>
      <c r="X658" s="192"/>
      <c r="Y658" s="190"/>
      <c r="Z658" s="193"/>
      <c r="AA658" s="190"/>
      <c r="AB658" s="190"/>
      <c r="AC658" s="190"/>
    </row>
    <row r="659" spans="13:29" ht="15.5" x14ac:dyDescent="0.35">
      <c r="M659" s="329"/>
      <c r="N659" s="158"/>
      <c r="O659" s="199"/>
      <c r="P659" s="200"/>
      <c r="Q659" s="201"/>
      <c r="R659" s="208"/>
      <c r="S659" s="202"/>
      <c r="T659" s="203"/>
      <c r="U659" s="203"/>
      <c r="V659" s="203"/>
      <c r="W659" s="192"/>
      <c r="X659" s="192"/>
      <c r="Y659" s="190"/>
      <c r="Z659" s="193"/>
      <c r="AA659" s="190"/>
      <c r="AB659" s="190"/>
      <c r="AC659" s="190"/>
    </row>
    <row r="660" spans="13:29" ht="15.5" x14ac:dyDescent="0.35">
      <c r="M660" s="329"/>
      <c r="N660" s="158"/>
      <c r="O660" s="158"/>
      <c r="P660" s="184"/>
      <c r="Q660" s="185"/>
      <c r="R660" s="186"/>
      <c r="S660" s="187"/>
      <c r="T660" s="173"/>
      <c r="U660" s="192"/>
      <c r="V660" s="192"/>
      <c r="W660" s="189"/>
      <c r="X660" s="189"/>
      <c r="Y660" s="190"/>
      <c r="Z660" s="193"/>
      <c r="AA660" s="190"/>
      <c r="AB660" s="190"/>
      <c r="AC660" s="190"/>
    </row>
    <row r="661" spans="13:29" ht="15.5" x14ac:dyDescent="0.35">
      <c r="M661" s="329"/>
      <c r="N661" s="158"/>
      <c r="O661" s="205"/>
      <c r="P661" s="209"/>
      <c r="Q661" s="210"/>
      <c r="R661" s="195"/>
      <c r="S661" s="202"/>
      <c r="T661" s="211"/>
      <c r="U661" s="203"/>
      <c r="V661" s="203"/>
      <c r="W661" s="192"/>
      <c r="X661" s="192"/>
      <c r="Y661" s="190"/>
      <c r="Z661" s="193"/>
      <c r="AA661" s="190"/>
      <c r="AB661" s="190"/>
      <c r="AC661" s="190"/>
    </row>
    <row r="662" spans="13:29" ht="15.5" x14ac:dyDescent="0.35">
      <c r="M662" s="329"/>
      <c r="N662" s="158"/>
      <c r="O662" s="158"/>
      <c r="P662" s="184"/>
      <c r="Q662" s="194"/>
      <c r="R662" s="195"/>
      <c r="S662" s="217"/>
      <c r="T662" s="173"/>
      <c r="U662" s="192"/>
      <c r="V662" s="192"/>
      <c r="W662" s="189"/>
      <c r="X662" s="189"/>
      <c r="Y662" s="190"/>
      <c r="Z662" s="193"/>
      <c r="AA662" s="190"/>
      <c r="AB662" s="190"/>
      <c r="AC662" s="190"/>
    </row>
    <row r="663" spans="13:29" ht="15.5" x14ac:dyDescent="0.35">
      <c r="M663" s="329"/>
      <c r="N663" s="158"/>
      <c r="O663" s="158"/>
      <c r="P663" s="168"/>
      <c r="Q663" s="194"/>
      <c r="R663" s="195"/>
      <c r="S663" s="195"/>
      <c r="T663" s="192"/>
      <c r="U663" s="192"/>
      <c r="V663" s="192"/>
      <c r="W663" s="192"/>
      <c r="X663" s="189"/>
      <c r="Y663" s="190"/>
      <c r="Z663" s="196"/>
      <c r="AA663" s="190"/>
      <c r="AB663" s="197"/>
      <c r="AC663" s="190"/>
    </row>
    <row r="664" spans="13:29" ht="15.5" x14ac:dyDescent="0.35">
      <c r="M664" s="329"/>
      <c r="N664" s="158"/>
      <c r="O664" s="158"/>
      <c r="P664" s="184"/>
      <c r="Q664" s="185"/>
      <c r="R664" s="186"/>
      <c r="S664" s="187"/>
      <c r="T664" s="188"/>
      <c r="U664" s="188"/>
      <c r="V664" s="188"/>
      <c r="W664" s="189"/>
      <c r="X664" s="189"/>
      <c r="Y664" s="190"/>
      <c r="Z664" s="191"/>
      <c r="AA664" s="190"/>
      <c r="AB664" s="204"/>
      <c r="AC664" s="190"/>
    </row>
    <row r="665" spans="13:29" ht="15.5" x14ac:dyDescent="0.35">
      <c r="M665" s="329"/>
      <c r="N665" s="158"/>
      <c r="O665" s="158"/>
      <c r="P665" s="184"/>
      <c r="Q665" s="185"/>
      <c r="R665" s="186"/>
      <c r="S665" s="187"/>
      <c r="T665" s="173"/>
      <c r="U665" s="192"/>
      <c r="V665" s="192"/>
      <c r="W665" s="189"/>
      <c r="X665" s="189"/>
      <c r="Y665" s="190"/>
      <c r="Z665" s="193"/>
      <c r="AA665" s="190"/>
      <c r="AB665" s="190"/>
      <c r="AC665" s="190"/>
    </row>
    <row r="666" spans="13:29" ht="15.5" x14ac:dyDescent="0.35">
      <c r="M666" s="329"/>
      <c r="N666" s="158"/>
      <c r="O666" s="158"/>
      <c r="P666" s="168"/>
      <c r="Q666" s="194"/>
      <c r="R666" s="195"/>
      <c r="S666" s="195"/>
      <c r="T666" s="342"/>
      <c r="U666" s="192"/>
      <c r="V666" s="192"/>
      <c r="W666" s="192"/>
      <c r="X666" s="192"/>
      <c r="Y666" s="190"/>
      <c r="Z666" s="196"/>
      <c r="AA666" s="190"/>
      <c r="AB666" s="197"/>
      <c r="AC666" s="190"/>
    </row>
    <row r="667" spans="13:29" ht="15.5" x14ac:dyDescent="0.35">
      <c r="M667" s="329"/>
      <c r="N667" s="158"/>
      <c r="O667" s="158"/>
      <c r="P667" s="168"/>
      <c r="Q667" s="194"/>
      <c r="R667" s="186"/>
      <c r="S667" s="195"/>
      <c r="T667" s="192"/>
      <c r="U667" s="192"/>
      <c r="V667" s="192"/>
      <c r="W667" s="192"/>
      <c r="X667" s="192"/>
      <c r="Y667" s="190"/>
      <c r="Z667" s="193"/>
      <c r="AA667" s="190"/>
      <c r="AB667" s="190"/>
      <c r="AC667" s="190"/>
    </row>
    <row r="668" spans="13:29" ht="15.5" x14ac:dyDescent="0.35">
      <c r="M668" s="329"/>
      <c r="N668" s="158"/>
      <c r="O668" s="158"/>
      <c r="P668" s="168"/>
      <c r="Q668" s="194"/>
      <c r="R668" s="195"/>
      <c r="S668" s="195"/>
      <c r="T668" s="192"/>
      <c r="U668" s="192"/>
      <c r="V668" s="192"/>
      <c r="W668" s="192"/>
      <c r="X668" s="192"/>
      <c r="Y668" s="190"/>
      <c r="Z668" s="196"/>
      <c r="AA668" s="190"/>
      <c r="AB668" s="197"/>
      <c r="AC668" s="190"/>
    </row>
    <row r="669" spans="13:29" ht="15.5" x14ac:dyDescent="0.35">
      <c r="M669" s="329"/>
      <c r="N669" s="158"/>
      <c r="O669" s="158"/>
      <c r="P669" s="168"/>
      <c r="Q669" s="194"/>
      <c r="R669" s="195"/>
      <c r="S669" s="195"/>
      <c r="T669" s="192"/>
      <c r="U669" s="192"/>
      <c r="V669" s="192"/>
      <c r="W669" s="192"/>
      <c r="X669" s="192"/>
      <c r="Y669" s="190"/>
      <c r="Z669" s="196"/>
      <c r="AA669" s="190"/>
      <c r="AB669" s="197"/>
      <c r="AC669" s="190"/>
    </row>
    <row r="670" spans="13:29" ht="15.5" x14ac:dyDescent="0.35">
      <c r="M670" s="329"/>
      <c r="N670" s="158"/>
      <c r="O670" s="158"/>
      <c r="P670" s="168"/>
      <c r="Q670" s="194"/>
      <c r="R670" s="195"/>
      <c r="S670" s="195"/>
      <c r="T670" s="192"/>
      <c r="U670" s="192"/>
      <c r="V670" s="192"/>
      <c r="W670" s="192"/>
      <c r="X670" s="192"/>
      <c r="Y670" s="190"/>
      <c r="Z670" s="196"/>
      <c r="AA670" s="190"/>
      <c r="AB670" s="197"/>
      <c r="AC670" s="229"/>
    </row>
    <row r="671" spans="13:29" ht="15.5" x14ac:dyDescent="0.35">
      <c r="M671" s="329"/>
      <c r="N671" s="158"/>
      <c r="O671" s="158"/>
      <c r="P671" s="168"/>
      <c r="Q671" s="194"/>
      <c r="R671" s="195"/>
      <c r="S671" s="195"/>
      <c r="T671" s="342"/>
      <c r="U671" s="192"/>
      <c r="V671" s="192"/>
      <c r="W671" s="192"/>
      <c r="X671" s="192"/>
      <c r="Y671" s="190"/>
      <c r="Z671" s="196"/>
      <c r="AA671" s="190"/>
      <c r="AB671" s="197"/>
      <c r="AC671" s="190"/>
    </row>
    <row r="672" spans="13:29" ht="15.5" x14ac:dyDescent="0.35">
      <c r="M672" s="329"/>
      <c r="N672" s="158"/>
      <c r="O672" s="158"/>
      <c r="P672" s="184"/>
      <c r="Q672" s="185"/>
      <c r="R672" s="186"/>
      <c r="S672" s="187"/>
      <c r="T672" s="330"/>
      <c r="U672" s="192"/>
      <c r="V672" s="192"/>
      <c r="W672" s="189"/>
      <c r="X672" s="189"/>
      <c r="Y672" s="190"/>
      <c r="Z672" s="193"/>
      <c r="AA672" s="190"/>
      <c r="AB672" s="190"/>
      <c r="AC672" s="224"/>
    </row>
    <row r="673" spans="13:29" ht="15.5" x14ac:dyDescent="0.35">
      <c r="M673" s="329"/>
      <c r="N673" s="158"/>
      <c r="O673" s="199"/>
      <c r="P673" s="200"/>
      <c r="Q673" s="201"/>
      <c r="R673" s="195"/>
      <c r="S673" s="202"/>
      <c r="T673" s="203"/>
      <c r="U673" s="203"/>
      <c r="V673" s="203"/>
      <c r="W673" s="192"/>
      <c r="X673" s="192"/>
      <c r="Y673" s="190"/>
      <c r="Z673" s="193"/>
      <c r="AA673" s="190"/>
      <c r="AB673" s="190"/>
      <c r="AC673" s="224"/>
    </row>
    <row r="674" spans="13:29" ht="15.5" x14ac:dyDescent="0.35">
      <c r="M674" s="329"/>
      <c r="N674" s="158"/>
      <c r="O674" s="158"/>
      <c r="P674" s="168"/>
      <c r="Q674" s="194"/>
      <c r="R674" s="195"/>
      <c r="S674" s="195"/>
      <c r="T674" s="192"/>
      <c r="U674" s="192"/>
      <c r="V674" s="192"/>
      <c r="W674" s="192"/>
      <c r="X674" s="189"/>
      <c r="Y674" s="190"/>
      <c r="Z674" s="196"/>
      <c r="AA674" s="190"/>
      <c r="AB674" s="190"/>
      <c r="AC674" s="190"/>
    </row>
    <row r="675" spans="13:29" ht="15.5" x14ac:dyDescent="0.35">
      <c r="M675" s="329"/>
      <c r="N675" s="158"/>
      <c r="O675" s="158"/>
      <c r="P675" s="168"/>
      <c r="Q675" s="194"/>
      <c r="R675" s="195"/>
      <c r="S675" s="195"/>
      <c r="T675" s="192"/>
      <c r="U675" s="192"/>
      <c r="V675" s="192"/>
      <c r="W675" s="192"/>
      <c r="X675" s="189"/>
      <c r="Y675" s="190"/>
      <c r="Z675" s="196"/>
      <c r="AA675" s="190"/>
      <c r="AB675" s="190"/>
      <c r="AC675" s="190"/>
    </row>
    <row r="676" spans="13:29" ht="15.5" x14ac:dyDescent="0.35">
      <c r="M676" s="329"/>
      <c r="N676" s="158"/>
      <c r="O676" s="158"/>
      <c r="P676" s="168"/>
      <c r="Q676" s="194"/>
      <c r="R676" s="195"/>
      <c r="S676" s="195"/>
      <c r="T676" s="192"/>
      <c r="U676" s="192"/>
      <c r="V676" s="192"/>
      <c r="W676" s="192"/>
      <c r="X676" s="189"/>
      <c r="Y676" s="190"/>
      <c r="Z676" s="196"/>
      <c r="AA676" s="190"/>
      <c r="AB676" s="190"/>
      <c r="AC676" s="190"/>
    </row>
    <row r="677" spans="13:29" ht="15.5" x14ac:dyDescent="0.35">
      <c r="M677" s="329"/>
      <c r="N677" s="158"/>
      <c r="O677" s="158"/>
      <c r="P677" s="168"/>
      <c r="Q677" s="194"/>
      <c r="R677" s="195"/>
      <c r="S677" s="195"/>
      <c r="T677" s="192"/>
      <c r="U677" s="192"/>
      <c r="V677" s="192"/>
      <c r="W677" s="192"/>
      <c r="X677" s="192"/>
      <c r="Y677" s="190"/>
      <c r="Z677" s="196"/>
      <c r="AA677" s="190"/>
      <c r="AB677" s="190"/>
      <c r="AC677" s="224"/>
    </row>
    <row r="678" spans="13:29" ht="15.5" x14ac:dyDescent="0.35">
      <c r="M678" s="329"/>
      <c r="N678" s="198"/>
      <c r="O678" s="158"/>
      <c r="P678" s="168"/>
      <c r="Q678" s="194"/>
      <c r="R678" s="195"/>
      <c r="S678" s="195"/>
      <c r="T678" s="192"/>
      <c r="U678" s="192"/>
      <c r="V678" s="192"/>
      <c r="W678" s="192"/>
      <c r="X678" s="192"/>
      <c r="Y678" s="190"/>
      <c r="Z678" s="196"/>
      <c r="AA678" s="190"/>
      <c r="AB678" s="190"/>
      <c r="AC678" s="190"/>
    </row>
    <row r="679" spans="13:29" ht="15.5" x14ac:dyDescent="0.35">
      <c r="M679" s="329"/>
      <c r="N679" s="158"/>
      <c r="O679" s="158"/>
      <c r="P679" s="168"/>
      <c r="Q679" s="194"/>
      <c r="R679" s="195"/>
      <c r="S679" s="195"/>
      <c r="T679" s="192"/>
      <c r="U679" s="192"/>
      <c r="V679" s="192"/>
      <c r="W679" s="192"/>
      <c r="X679" s="192"/>
      <c r="Y679" s="190"/>
      <c r="Z679" s="196"/>
      <c r="AA679" s="190"/>
      <c r="AB679" s="190"/>
      <c r="AC679" s="190"/>
    </row>
    <row r="680" spans="13:29" ht="15.5" x14ac:dyDescent="0.35">
      <c r="M680" s="329"/>
      <c r="N680" s="198"/>
      <c r="O680" s="158"/>
      <c r="P680" s="168"/>
      <c r="Q680" s="194"/>
      <c r="R680" s="195"/>
      <c r="S680" s="195"/>
      <c r="T680" s="192"/>
      <c r="U680" s="192"/>
      <c r="V680" s="192"/>
      <c r="W680" s="192"/>
      <c r="X680" s="192"/>
      <c r="Y680" s="190"/>
      <c r="Z680" s="196"/>
      <c r="AA680" s="190"/>
      <c r="AB680" s="190"/>
      <c r="AC680" s="190"/>
    </row>
    <row r="681" spans="13:29" ht="15.5" x14ac:dyDescent="0.35">
      <c r="M681" s="329"/>
      <c r="N681" s="158"/>
      <c r="O681" s="205"/>
      <c r="P681" s="209"/>
      <c r="Q681" s="210"/>
      <c r="R681" s="195"/>
      <c r="S681" s="202"/>
      <c r="T681" s="211"/>
      <c r="U681" s="203"/>
      <c r="V681" s="203"/>
      <c r="W681" s="192"/>
      <c r="X681" s="192"/>
      <c r="Y681" s="190"/>
      <c r="Z681" s="193"/>
      <c r="AA681" s="190"/>
      <c r="AB681" s="190"/>
      <c r="AC681" s="190"/>
    </row>
    <row r="682" spans="13:29" ht="15.5" x14ac:dyDescent="0.35">
      <c r="M682" s="329"/>
      <c r="N682" s="158"/>
      <c r="O682" s="199"/>
      <c r="P682" s="200"/>
      <c r="Q682" s="201"/>
      <c r="R682" s="208"/>
      <c r="S682" s="202"/>
      <c r="T682" s="203"/>
      <c r="U682" s="203"/>
      <c r="V682" s="203"/>
      <c r="W682" s="192"/>
      <c r="X682" s="192"/>
      <c r="Y682" s="190"/>
      <c r="Z682" s="193"/>
      <c r="AA682" s="190"/>
      <c r="AB682" s="190"/>
      <c r="AC682" s="224"/>
    </row>
    <row r="683" spans="13:29" ht="15.5" x14ac:dyDescent="0.35">
      <c r="M683" s="329"/>
      <c r="N683" s="158"/>
      <c r="O683" s="158"/>
      <c r="P683" s="168"/>
      <c r="Q683" s="194"/>
      <c r="R683" s="195"/>
      <c r="S683" s="195"/>
      <c r="T683" s="192"/>
      <c r="U683" s="192"/>
      <c r="V683" s="192"/>
      <c r="W683" s="192"/>
      <c r="X683" s="192"/>
      <c r="Y683" s="190"/>
      <c r="Z683" s="196"/>
      <c r="AA683" s="190"/>
      <c r="AB683" s="190"/>
      <c r="AC683" s="224"/>
    </row>
    <row r="684" spans="13:29" ht="15.5" x14ac:dyDescent="0.35">
      <c r="M684" s="329"/>
      <c r="N684" s="158"/>
      <c r="O684" s="158"/>
      <c r="P684" s="184"/>
      <c r="Q684" s="185"/>
      <c r="R684" s="186"/>
      <c r="S684" s="187"/>
      <c r="T684" s="330"/>
      <c r="U684" s="192"/>
      <c r="V684" s="192"/>
      <c r="W684" s="189"/>
      <c r="X684" s="189"/>
      <c r="Y684" s="190"/>
      <c r="Z684" s="193"/>
      <c r="AA684" s="190"/>
      <c r="AB684" s="190"/>
      <c r="AC684" s="224"/>
    </row>
    <row r="685" spans="13:29" ht="15.5" x14ac:dyDescent="0.35">
      <c r="M685" s="329"/>
      <c r="N685" s="158"/>
      <c r="O685" s="158"/>
      <c r="P685" s="168"/>
      <c r="Q685" s="194"/>
      <c r="R685" s="195"/>
      <c r="S685" s="195"/>
      <c r="T685" s="192"/>
      <c r="U685" s="192"/>
      <c r="V685" s="192"/>
      <c r="W685" s="192"/>
      <c r="X685" s="192"/>
      <c r="Y685" s="197"/>
      <c r="Z685" s="212"/>
      <c r="AA685" s="190"/>
      <c r="AB685" s="197"/>
      <c r="AC685" s="224"/>
    </row>
    <row r="686" spans="13:29" ht="15.5" x14ac:dyDescent="0.35">
      <c r="M686" s="329"/>
      <c r="N686" s="158"/>
      <c r="O686" s="158"/>
      <c r="P686" s="168"/>
      <c r="Q686" s="194"/>
      <c r="R686" s="195"/>
      <c r="S686" s="195"/>
      <c r="T686" s="192"/>
      <c r="U686" s="192"/>
      <c r="V686" s="192"/>
      <c r="W686" s="192"/>
      <c r="X686" s="192"/>
      <c r="Y686" s="190"/>
      <c r="Z686" s="196"/>
      <c r="AA686" s="190"/>
      <c r="AB686" s="190"/>
      <c r="AC686" s="224"/>
    </row>
    <row r="687" spans="13:29" ht="15.5" x14ac:dyDescent="0.35">
      <c r="M687" s="329"/>
      <c r="N687" s="158"/>
      <c r="O687" s="158"/>
      <c r="P687" s="184"/>
      <c r="Q687" s="185"/>
      <c r="R687" s="186"/>
      <c r="S687" s="187"/>
      <c r="T687" s="173"/>
      <c r="U687" s="192"/>
      <c r="V687" s="192"/>
      <c r="W687" s="189"/>
      <c r="X687" s="189"/>
      <c r="Y687" s="190"/>
      <c r="Z687" s="193"/>
      <c r="AA687" s="190"/>
      <c r="AB687" s="190"/>
      <c r="AC687" s="224"/>
    </row>
    <row r="688" spans="13:29" ht="15.5" x14ac:dyDescent="0.35">
      <c r="M688" s="329"/>
      <c r="N688" s="158"/>
      <c r="O688" s="158"/>
      <c r="P688" s="168"/>
      <c r="Q688" s="194"/>
      <c r="R688" s="195"/>
      <c r="S688" s="195"/>
      <c r="T688" s="192"/>
      <c r="U688" s="192"/>
      <c r="V688" s="192"/>
      <c r="W688" s="192"/>
      <c r="X688" s="192"/>
      <c r="Y688" s="190"/>
      <c r="Z688" s="196"/>
      <c r="AA688" s="190"/>
      <c r="AB688" s="197"/>
      <c r="AC688" s="190"/>
    </row>
    <row r="689" spans="13:29" ht="15.5" x14ac:dyDescent="0.35">
      <c r="M689" s="329"/>
      <c r="N689" s="158"/>
      <c r="O689" s="158"/>
      <c r="P689" s="168"/>
      <c r="Q689" s="194"/>
      <c r="R689" s="195"/>
      <c r="S689" s="195"/>
      <c r="T689" s="192"/>
      <c r="U689" s="192"/>
      <c r="V689" s="192"/>
      <c r="W689" s="192"/>
      <c r="X689" s="192"/>
      <c r="Y689" s="222"/>
      <c r="Z689" s="223"/>
      <c r="AA689" s="222"/>
      <c r="AB689" s="222"/>
      <c r="AC689" s="190"/>
    </row>
    <row r="690" spans="13:29" ht="15.5" x14ac:dyDescent="0.35">
      <c r="M690" s="329"/>
      <c r="N690" s="158"/>
      <c r="O690" s="158"/>
      <c r="P690" s="168"/>
      <c r="Q690" s="194"/>
      <c r="R690" s="195"/>
      <c r="S690" s="195"/>
      <c r="T690" s="192"/>
      <c r="U690" s="192"/>
      <c r="V690" s="192"/>
      <c r="W690" s="192"/>
      <c r="X690" s="192"/>
      <c r="Y690" s="222"/>
      <c r="Z690" s="223"/>
      <c r="AA690" s="222"/>
      <c r="AB690" s="222"/>
      <c r="AC690" s="190"/>
    </row>
    <row r="691" spans="13:29" ht="15.5" x14ac:dyDescent="0.35">
      <c r="M691" s="329"/>
      <c r="N691" s="158"/>
      <c r="O691" s="158"/>
      <c r="P691" s="168"/>
      <c r="Q691" s="194"/>
      <c r="R691" s="195"/>
      <c r="S691" s="195"/>
      <c r="T691" s="192"/>
      <c r="U691" s="192"/>
      <c r="V691" s="192"/>
      <c r="W691" s="192"/>
      <c r="X691" s="192"/>
      <c r="Y691" s="222"/>
      <c r="Z691" s="223"/>
      <c r="AA691" s="222"/>
      <c r="AB691" s="222"/>
      <c r="AC691" s="190"/>
    </row>
    <row r="692" spans="13:29" ht="15.5" x14ac:dyDescent="0.35">
      <c r="M692" s="329"/>
      <c r="N692" s="158"/>
      <c r="O692" s="158"/>
      <c r="P692" s="168"/>
      <c r="Q692" s="194"/>
      <c r="R692" s="195"/>
      <c r="S692" s="195"/>
      <c r="T692" s="192"/>
      <c r="U692" s="192"/>
      <c r="V692" s="192"/>
      <c r="W692" s="192"/>
      <c r="X692" s="192"/>
      <c r="Y692" s="222"/>
      <c r="Z692" s="223"/>
      <c r="AA692" s="222"/>
      <c r="AB692" s="222"/>
      <c r="AC692" s="190"/>
    </row>
    <row r="693" spans="13:29" ht="15.5" x14ac:dyDescent="0.35">
      <c r="M693" s="329"/>
      <c r="N693" s="158"/>
      <c r="O693" s="158"/>
      <c r="P693" s="184"/>
      <c r="Q693" s="185"/>
      <c r="R693" s="186"/>
      <c r="S693" s="187"/>
      <c r="T693" s="173"/>
      <c r="U693" s="192"/>
      <c r="V693" s="192"/>
      <c r="W693" s="189"/>
      <c r="X693" s="189"/>
      <c r="Y693" s="190"/>
      <c r="Z693" s="193"/>
      <c r="AA693" s="190"/>
      <c r="AB693" s="190"/>
      <c r="AC693" s="190"/>
    </row>
    <row r="694" spans="13:29" ht="15.5" x14ac:dyDescent="0.35">
      <c r="M694" s="329"/>
      <c r="N694" s="158"/>
      <c r="O694" s="158"/>
      <c r="P694" s="168"/>
      <c r="Q694" s="194"/>
      <c r="R694" s="195"/>
      <c r="S694" s="195"/>
      <c r="T694" s="192"/>
      <c r="U694" s="192"/>
      <c r="V694" s="192"/>
      <c r="W694" s="192"/>
      <c r="X694" s="192"/>
      <c r="Y694" s="190"/>
      <c r="Z694" s="212"/>
      <c r="AA694" s="190"/>
      <c r="AB694" s="197"/>
      <c r="AC694" s="190"/>
    </row>
    <row r="695" spans="13:29" ht="15.5" x14ac:dyDescent="0.35">
      <c r="M695" s="329"/>
      <c r="N695" s="158"/>
      <c r="O695" s="158"/>
      <c r="P695" s="168"/>
      <c r="Q695" s="194"/>
      <c r="R695" s="195"/>
      <c r="S695" s="195"/>
      <c r="T695" s="192"/>
      <c r="U695" s="192"/>
      <c r="V695" s="192"/>
      <c r="W695" s="192"/>
      <c r="X695" s="192"/>
      <c r="Y695" s="190"/>
      <c r="Z695" s="196"/>
      <c r="AA695" s="190"/>
      <c r="AB695" s="197"/>
      <c r="AC695" s="190"/>
    </row>
    <row r="696" spans="13:29" ht="15.5" x14ac:dyDescent="0.35">
      <c r="M696" s="329"/>
      <c r="N696" s="158"/>
      <c r="O696" s="158"/>
      <c r="P696" s="168"/>
      <c r="Q696" s="194"/>
      <c r="R696" s="195"/>
      <c r="S696" s="195"/>
      <c r="T696" s="192"/>
      <c r="U696" s="192"/>
      <c r="V696" s="192"/>
      <c r="W696" s="192"/>
      <c r="X696" s="192"/>
      <c r="Y696" s="190"/>
      <c r="Z696" s="196"/>
      <c r="AA696" s="190"/>
      <c r="AB696" s="197"/>
      <c r="AC696" s="190"/>
    </row>
    <row r="697" spans="13:29" ht="15.5" x14ac:dyDescent="0.35">
      <c r="M697" s="329"/>
      <c r="N697" s="158"/>
      <c r="O697" s="158"/>
      <c r="P697" s="168"/>
      <c r="Q697" s="194"/>
      <c r="R697" s="195"/>
      <c r="S697" s="195"/>
      <c r="T697" s="342"/>
      <c r="U697" s="192"/>
      <c r="V697" s="192"/>
      <c r="W697" s="192"/>
      <c r="X697" s="192"/>
      <c r="Y697" s="190"/>
      <c r="Z697" s="196"/>
      <c r="AA697" s="190"/>
      <c r="AB697" s="190"/>
      <c r="AC697" s="190"/>
    </row>
    <row r="698" spans="13:29" ht="15.5" x14ac:dyDescent="0.35">
      <c r="M698" s="329"/>
      <c r="N698" s="158"/>
      <c r="O698" s="158"/>
      <c r="P698" s="184"/>
      <c r="Q698" s="185"/>
      <c r="R698" s="186"/>
      <c r="S698" s="187"/>
      <c r="T698" s="173"/>
      <c r="U698" s="192"/>
      <c r="V698" s="192"/>
      <c r="W698" s="189"/>
      <c r="X698" s="189"/>
      <c r="Y698" s="190"/>
      <c r="Z698" s="193"/>
      <c r="AA698" s="190"/>
      <c r="AB698" s="190"/>
      <c r="AC698" s="190"/>
    </row>
    <row r="699" spans="13:29" ht="15.5" x14ac:dyDescent="0.35">
      <c r="M699" s="329"/>
      <c r="N699" s="221"/>
      <c r="O699" s="158"/>
      <c r="P699" s="216"/>
      <c r="Q699" s="195"/>
      <c r="R699" s="195"/>
      <c r="S699" s="192"/>
      <c r="T699" s="192"/>
      <c r="U699" s="192"/>
      <c r="V699" s="192"/>
      <c r="W699" s="192"/>
      <c r="X699" s="222"/>
      <c r="Y699" s="347"/>
      <c r="Z699" s="224"/>
      <c r="AA699" s="173"/>
      <c r="AB699" s="173"/>
      <c r="AC699" s="190"/>
    </row>
    <row r="700" spans="13:29" ht="15.5" x14ac:dyDescent="0.35">
      <c r="M700" s="329"/>
      <c r="N700" s="158"/>
      <c r="O700" s="158"/>
      <c r="P700" s="184"/>
      <c r="Q700" s="185"/>
      <c r="R700" s="186"/>
      <c r="S700" s="187"/>
      <c r="T700" s="173"/>
      <c r="U700" s="192"/>
      <c r="V700" s="192"/>
      <c r="W700" s="189"/>
      <c r="X700" s="189"/>
      <c r="Y700" s="190"/>
      <c r="Z700" s="193"/>
      <c r="AA700" s="190"/>
      <c r="AB700" s="190"/>
      <c r="AC700" s="190"/>
    </row>
    <row r="701" spans="13:29" ht="15.5" x14ac:dyDescent="0.35">
      <c r="M701" s="329"/>
      <c r="N701" s="158"/>
      <c r="O701" s="158"/>
      <c r="P701" s="168"/>
      <c r="Q701" s="194"/>
      <c r="R701" s="195"/>
      <c r="S701" s="195"/>
      <c r="T701" s="342"/>
      <c r="U701" s="192"/>
      <c r="V701" s="192"/>
      <c r="W701" s="192"/>
      <c r="X701" s="192"/>
      <c r="Y701" s="190"/>
      <c r="Z701" s="196"/>
      <c r="AA701" s="190"/>
      <c r="AB701" s="190"/>
      <c r="AC701" s="190"/>
    </row>
    <row r="702" spans="13:29" ht="15.5" x14ac:dyDescent="0.35">
      <c r="M702" s="329"/>
      <c r="N702" s="167"/>
      <c r="O702" s="158"/>
      <c r="P702" s="168"/>
      <c r="Q702" s="194"/>
      <c r="R702" s="195"/>
      <c r="S702" s="195"/>
      <c r="T702" s="192"/>
      <c r="U702" s="192"/>
      <c r="V702" s="192"/>
      <c r="W702" s="192"/>
      <c r="X702" s="192"/>
      <c r="Y702" s="222"/>
      <c r="Z702" s="223"/>
      <c r="AA702" s="190"/>
      <c r="AB702" s="222"/>
      <c r="AC702" s="224"/>
    </row>
    <row r="703" spans="13:29" ht="15.5" x14ac:dyDescent="0.35">
      <c r="M703" s="329"/>
      <c r="N703" s="158"/>
      <c r="O703" s="199"/>
      <c r="P703" s="200"/>
      <c r="Q703" s="201"/>
      <c r="R703" s="195"/>
      <c r="S703" s="202"/>
      <c r="T703" s="203"/>
      <c r="U703" s="203"/>
      <c r="V703" s="203"/>
      <c r="W703" s="192"/>
      <c r="X703" s="192"/>
      <c r="Y703" s="190"/>
      <c r="Z703" s="193"/>
      <c r="AA703" s="190"/>
      <c r="AB703" s="190"/>
      <c r="AC703" s="190"/>
    </row>
    <row r="704" spans="13:29" ht="15.5" x14ac:dyDescent="0.35">
      <c r="M704" s="329"/>
      <c r="N704" s="158"/>
      <c r="O704" s="158"/>
      <c r="P704" s="168"/>
      <c r="Q704" s="194"/>
      <c r="R704" s="195"/>
      <c r="S704" s="195"/>
      <c r="T704" s="192"/>
      <c r="U704" s="192"/>
      <c r="V704" s="192"/>
      <c r="W704" s="192"/>
      <c r="X704" s="192"/>
      <c r="Y704" s="190"/>
      <c r="Z704" s="196"/>
      <c r="AA704" s="190"/>
      <c r="AB704" s="190"/>
      <c r="AC704" s="190"/>
    </row>
    <row r="705" spans="13:29" ht="15.5" x14ac:dyDescent="0.35">
      <c r="M705" s="329"/>
      <c r="N705" s="158"/>
      <c r="O705" s="199"/>
      <c r="P705" s="200"/>
      <c r="Q705" s="201"/>
      <c r="R705" s="208"/>
      <c r="S705" s="202"/>
      <c r="T705" s="203"/>
      <c r="U705" s="203"/>
      <c r="V705" s="203"/>
      <c r="W705" s="192"/>
      <c r="X705" s="192"/>
      <c r="Y705" s="190"/>
      <c r="Z705" s="193"/>
      <c r="AA705" s="190"/>
      <c r="AB705" s="190"/>
      <c r="AC705" s="190"/>
    </row>
    <row r="706" spans="13:29" ht="15.5" x14ac:dyDescent="0.35">
      <c r="M706" s="329"/>
      <c r="N706" s="198"/>
      <c r="O706" s="158"/>
      <c r="P706" s="168"/>
      <c r="Q706" s="194"/>
      <c r="R706" s="195"/>
      <c r="S706" s="195"/>
      <c r="T706" s="192"/>
      <c r="U706" s="192"/>
      <c r="V706" s="192"/>
      <c r="W706" s="192"/>
      <c r="X706" s="192"/>
      <c r="Y706" s="190"/>
      <c r="Z706" s="196"/>
      <c r="AA706" s="190"/>
      <c r="AB706" s="190"/>
      <c r="AC706" s="190"/>
    </row>
    <row r="707" spans="13:29" ht="15.5" x14ac:dyDescent="0.35">
      <c r="M707" s="329"/>
      <c r="N707" s="158"/>
      <c r="O707" s="199"/>
      <c r="P707" s="200"/>
      <c r="Q707" s="201"/>
      <c r="R707" s="208"/>
      <c r="S707" s="202"/>
      <c r="T707" s="203"/>
      <c r="U707" s="203"/>
      <c r="V707" s="203"/>
      <c r="W707" s="192"/>
      <c r="X707" s="192"/>
      <c r="Y707" s="190"/>
      <c r="Z707" s="193"/>
      <c r="AA707" s="190"/>
      <c r="AB707" s="190"/>
      <c r="AC707" s="190"/>
    </row>
    <row r="708" spans="13:29" ht="15.5" x14ac:dyDescent="0.35">
      <c r="M708" s="329"/>
      <c r="N708" s="158"/>
      <c r="O708" s="199"/>
      <c r="P708" s="200"/>
      <c r="Q708" s="201"/>
      <c r="R708" s="208"/>
      <c r="S708" s="202"/>
      <c r="T708" s="203"/>
      <c r="U708" s="203"/>
      <c r="V708" s="203"/>
      <c r="W708" s="192"/>
      <c r="X708" s="192"/>
      <c r="Y708" s="190"/>
      <c r="Z708" s="193"/>
      <c r="AA708" s="190"/>
      <c r="AB708" s="190"/>
      <c r="AC708" s="224"/>
    </row>
    <row r="709" spans="13:29" ht="15.5" x14ac:dyDescent="0.35">
      <c r="M709" s="329"/>
      <c r="N709" s="158"/>
      <c r="O709" s="158"/>
      <c r="P709" s="168"/>
      <c r="Q709" s="194"/>
      <c r="R709" s="195"/>
      <c r="S709" s="195"/>
      <c r="T709" s="192"/>
      <c r="U709" s="192"/>
      <c r="V709" s="192"/>
      <c r="W709" s="192"/>
      <c r="X709" s="192"/>
      <c r="Y709" s="190"/>
      <c r="Z709" s="196"/>
      <c r="AA709" s="190"/>
      <c r="AB709" s="190"/>
      <c r="AC709" s="224"/>
    </row>
    <row r="710" spans="13:29" ht="15.5" x14ac:dyDescent="0.35">
      <c r="M710" s="329"/>
      <c r="N710" s="158"/>
      <c r="O710" s="158"/>
      <c r="P710" s="168"/>
      <c r="Q710" s="194"/>
      <c r="R710" s="195"/>
      <c r="S710" s="195"/>
      <c r="T710" s="192"/>
      <c r="U710" s="192"/>
      <c r="V710" s="192"/>
      <c r="W710" s="192"/>
      <c r="X710" s="192"/>
      <c r="Y710" s="190"/>
      <c r="Z710" s="196"/>
      <c r="AA710" s="190"/>
      <c r="AB710" s="190"/>
      <c r="AC710" s="224"/>
    </row>
    <row r="711" spans="13:29" ht="15.5" x14ac:dyDescent="0.35">
      <c r="M711" s="329"/>
      <c r="N711" s="158"/>
      <c r="O711" s="158"/>
      <c r="P711" s="184"/>
      <c r="Q711" s="185"/>
      <c r="R711" s="186"/>
      <c r="S711" s="187"/>
      <c r="T711" s="173"/>
      <c r="U711" s="192"/>
      <c r="V711" s="192"/>
      <c r="W711" s="189"/>
      <c r="X711" s="189"/>
      <c r="Y711" s="190"/>
      <c r="Z711" s="193"/>
      <c r="AA711" s="190"/>
      <c r="AB711" s="190"/>
      <c r="AC711" s="190"/>
    </row>
    <row r="712" spans="13:29" ht="15.5" x14ac:dyDescent="0.35">
      <c r="M712" s="329"/>
      <c r="N712" s="158"/>
      <c r="O712" s="158"/>
      <c r="P712" s="168"/>
      <c r="Q712" s="194"/>
      <c r="R712" s="195"/>
      <c r="S712" s="195"/>
      <c r="T712" s="192"/>
      <c r="U712" s="192"/>
      <c r="V712" s="192"/>
      <c r="W712" s="192"/>
      <c r="X712" s="192"/>
      <c r="Y712" s="190"/>
      <c r="Z712" s="196"/>
      <c r="AA712" s="190"/>
      <c r="AB712" s="190"/>
      <c r="AC712" s="190"/>
    </row>
    <row r="713" spans="13:29" ht="15.5" x14ac:dyDescent="0.35">
      <c r="M713" s="329"/>
      <c r="N713" s="158"/>
      <c r="O713" s="158"/>
      <c r="P713" s="168"/>
      <c r="Q713" s="194"/>
      <c r="R713" s="195"/>
      <c r="S713" s="195"/>
      <c r="T713" s="192"/>
      <c r="U713" s="192"/>
      <c r="V713" s="192"/>
      <c r="W713" s="192"/>
      <c r="X713" s="192"/>
      <c r="Y713" s="190"/>
      <c r="Z713" s="196"/>
      <c r="AA713" s="190"/>
      <c r="AB713" s="190"/>
      <c r="AC713" s="190"/>
    </row>
    <row r="714" spans="13:29" ht="15.5" x14ac:dyDescent="0.35">
      <c r="M714" s="329"/>
      <c r="N714" s="158"/>
      <c r="O714" s="158"/>
      <c r="P714" s="168"/>
      <c r="Q714" s="194"/>
      <c r="R714" s="195"/>
      <c r="S714" s="195"/>
      <c r="T714" s="192"/>
      <c r="U714" s="192"/>
      <c r="V714" s="192"/>
      <c r="W714" s="192"/>
      <c r="X714" s="192"/>
      <c r="Y714" s="190"/>
      <c r="Z714" s="196"/>
      <c r="AA714" s="190"/>
      <c r="AB714" s="190"/>
      <c r="AC714" s="190"/>
    </row>
    <row r="715" spans="13:29" ht="15.5" x14ac:dyDescent="0.35">
      <c r="M715" s="329"/>
      <c r="N715" s="167"/>
      <c r="O715" s="158"/>
      <c r="P715" s="168"/>
      <c r="Q715" s="194"/>
      <c r="R715" s="195"/>
      <c r="S715" s="195"/>
      <c r="T715" s="342"/>
      <c r="U715" s="192"/>
      <c r="V715" s="192"/>
      <c r="W715" s="192"/>
      <c r="X715" s="192"/>
      <c r="Y715" s="197"/>
      <c r="Z715" s="212"/>
      <c r="AA715" s="197"/>
      <c r="AB715" s="197"/>
      <c r="AC715" s="224"/>
    </row>
  </sheetData>
  <sheetProtection sheet="1" selectLockedCells="1"/>
  <dataValidations disablePrompts="1" count="1">
    <dataValidation type="date" allowBlank="1" showInputMessage="1" showErrorMessage="1" sqref="D1 P9 E15 P15:P16" xr:uid="{DCFEA6FE-2648-4E07-A8D8-240F5D93F16B}">
      <formula1>1</formula1>
      <formula2>45291</formula2>
    </dataValidation>
  </dataValidations>
  <pageMargins left="0.70866141732283472" right="0.70866141732283472" top="0.74803149606299213" bottom="0.74803149606299213" header="0.31496062992125984" footer="0.31496062992125984"/>
  <pageSetup paperSize="9" scale="77" orientation="landscape" r:id="rId1"/>
  <ignoredErrors>
    <ignoredError sqref="B16:E6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8" r:id="rId4" name="Button 12">
              <controlPr defaultSize="0" print="0" autoFill="0" autoPict="0" macro="[0]!Recherche_Nom">
                <anchor moveWithCells="1" sizeWithCells="1">
                  <from>
                    <xdr:col>1</xdr:col>
                    <xdr:colOff>812800</xdr:colOff>
                    <xdr:row>9</xdr:row>
                    <xdr:rowOff>146050</xdr:rowOff>
                  </from>
                  <to>
                    <xdr:col>3</xdr:col>
                    <xdr:colOff>260350</xdr:colOff>
                    <xdr:row>12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5" name="Button 13">
              <controlPr defaultSize="0" print="0" autoFill="0" autoPict="0" macro="[0]!Recherche_Prénom">
                <anchor moveWithCells="1" sizeWithCells="1">
                  <from>
                    <xdr:col>3</xdr:col>
                    <xdr:colOff>1308100</xdr:colOff>
                    <xdr:row>9</xdr:row>
                    <xdr:rowOff>146050</xdr:rowOff>
                  </from>
                  <to>
                    <xdr:col>5</xdr:col>
                    <xdr:colOff>260350</xdr:colOff>
                    <xdr:row>12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6" name="Button 14">
              <controlPr defaultSize="0" print="0" autoFill="0" autoPict="0" macro="[0]!Recherche_datedenaissance">
                <anchor moveWithCells="1" sizeWithCells="1">
                  <from>
                    <xdr:col>5</xdr:col>
                    <xdr:colOff>1200150</xdr:colOff>
                    <xdr:row>9</xdr:row>
                    <xdr:rowOff>107950</xdr:rowOff>
                  </from>
                  <to>
                    <xdr:col>7</xdr:col>
                    <xdr:colOff>228600</xdr:colOff>
                    <xdr:row>12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6A2D6-BD21-4AA7-8F72-3C967598CFB1}">
  <sheetPr codeName="Feuil10">
    <pageSetUpPr fitToPage="1"/>
  </sheetPr>
  <dimension ref="A1:AH704"/>
  <sheetViews>
    <sheetView showGridLines="0" showRowColHeaders="0" topLeftCell="A3" zoomScaleNormal="100" workbookViewId="0">
      <pane xSplit="14" ySplit="17" topLeftCell="O20" activePane="bottomRight" state="frozen"/>
      <selection activeCell="A3" sqref="A3"/>
      <selection pane="topRight" activeCell="O3" sqref="O3"/>
      <selection pane="bottomLeft" activeCell="A20" sqref="A20"/>
      <selection pane="bottomRight" activeCell="B10" sqref="B10"/>
    </sheetView>
  </sheetViews>
  <sheetFormatPr baseColWidth="10" defaultRowHeight="14.5" x14ac:dyDescent="0.35"/>
  <cols>
    <col min="1" max="1" width="3.54296875" customWidth="1"/>
    <col min="2" max="2" width="16" customWidth="1"/>
    <col min="3" max="3" width="28.7265625" customWidth="1"/>
    <col min="4" max="4" width="24.26953125" customWidth="1"/>
    <col min="5" max="5" width="14.26953125" customWidth="1"/>
    <col min="6" max="6" width="1.81640625" customWidth="1"/>
    <col min="7" max="7" width="2.54296875" customWidth="1"/>
    <col min="8" max="8" width="29.26953125" customWidth="1"/>
    <col min="9" max="9" width="20.7265625" customWidth="1"/>
    <col min="10" max="10" width="3.54296875" customWidth="1"/>
    <col min="11" max="11" width="11.81640625" customWidth="1"/>
    <col min="12" max="12" width="10.26953125" customWidth="1"/>
    <col min="13" max="13" width="1.26953125" customWidth="1"/>
    <col min="14" max="14" width="14.54296875" customWidth="1"/>
    <col min="17" max="17" width="11.54296875" hidden="1" customWidth="1"/>
    <col min="18" max="18" width="20.7265625" hidden="1" customWidth="1"/>
    <col min="19" max="29" width="11.54296875" hidden="1" customWidth="1"/>
    <col min="30" max="35" width="11.54296875" customWidth="1"/>
  </cols>
  <sheetData>
    <row r="1" spans="1:22" ht="22.9" hidden="1" customHeight="1" x14ac:dyDescent="0.35">
      <c r="A1" s="143" t="s">
        <v>30</v>
      </c>
      <c r="B1" s="144" t="s">
        <v>37</v>
      </c>
      <c r="C1" s="145" t="s">
        <v>38</v>
      </c>
      <c r="D1" s="146" t="s">
        <v>33</v>
      </c>
      <c r="E1" s="146"/>
      <c r="F1" s="147" t="s">
        <v>42</v>
      </c>
      <c r="G1" s="147"/>
      <c r="H1" s="148" t="s">
        <v>24</v>
      </c>
      <c r="I1" s="148" t="s">
        <v>34</v>
      </c>
      <c r="J1" s="149" t="s">
        <v>0</v>
      </c>
      <c r="K1" s="149"/>
      <c r="L1" s="149"/>
      <c r="M1" s="149"/>
      <c r="N1" s="149" t="s">
        <v>47</v>
      </c>
      <c r="O1" s="243" t="s">
        <v>25</v>
      </c>
      <c r="P1" s="244"/>
    </row>
    <row r="2" spans="1:22" ht="25.9" hidden="1" customHeight="1" x14ac:dyDescent="0.35">
      <c r="A2" s="127" t="e">
        <f>#REF!</f>
        <v>#REF!</v>
      </c>
      <c r="B2" t="e">
        <f>#REF!</f>
        <v>#REF!</v>
      </c>
      <c r="C2" t="e">
        <f>#REF!</f>
        <v>#REF!</v>
      </c>
      <c r="D2" s="125" t="e">
        <f>#REF!</f>
        <v>#REF!</v>
      </c>
      <c r="E2" s="125"/>
      <c r="F2" t="e">
        <f>#REF!</f>
        <v>#REF!</v>
      </c>
      <c r="H2" t="e">
        <f>#REF!</f>
        <v>#REF!</v>
      </c>
      <c r="I2" t="e">
        <f>#REF!</f>
        <v>#REF!</v>
      </c>
      <c r="J2" t="e">
        <f>#REF!</f>
        <v>#REF!</v>
      </c>
      <c r="N2" t="e">
        <f>#REF!</f>
        <v>#REF!</v>
      </c>
      <c r="O2" s="156" t="e">
        <f>#REF!</f>
        <v>#REF!</v>
      </c>
      <c r="P2" s="159"/>
    </row>
    <row r="3" spans="1:22" ht="8.5" customHeight="1" x14ac:dyDescent="0.35"/>
    <row r="4" spans="1:22" ht="4.1500000000000004" customHeight="1" x14ac:dyDescent="0.35"/>
    <row r="5" spans="1:22" ht="31" x14ac:dyDescent="0.7">
      <c r="B5" s="131" t="s">
        <v>167</v>
      </c>
      <c r="C5" s="132"/>
      <c r="D5" s="132"/>
      <c r="E5" s="132"/>
      <c r="F5" s="132"/>
      <c r="G5" s="132"/>
      <c r="H5" s="132"/>
      <c r="I5" s="132"/>
      <c r="J5" s="157"/>
      <c r="K5" s="157"/>
      <c r="L5" s="157"/>
      <c r="M5" s="157"/>
      <c r="N5" s="157"/>
    </row>
    <row r="6" spans="1:22" ht="22.15" customHeight="1" thickBot="1" x14ac:dyDescent="0.4">
      <c r="Q6" s="1"/>
      <c r="R6" s="1"/>
      <c r="S6" s="1"/>
      <c r="T6" s="1"/>
      <c r="U6" s="1"/>
    </row>
    <row r="7" spans="1:22" ht="7.9" customHeight="1" x14ac:dyDescent="0.35">
      <c r="G7" s="266"/>
      <c r="H7" s="267"/>
      <c r="I7" s="268"/>
      <c r="Q7" s="1"/>
      <c r="R7" s="1"/>
      <c r="S7" s="1"/>
      <c r="T7" s="1"/>
      <c r="U7" s="1"/>
    </row>
    <row r="8" spans="1:22" ht="22.9" customHeight="1" x14ac:dyDescent="0.5">
      <c r="B8" s="133" t="s">
        <v>30</v>
      </c>
      <c r="C8" s="269" t="s">
        <v>162</v>
      </c>
      <c r="D8" s="270" t="str">
        <f>IFERROR(VLOOKUP($B$10,'Liste gobale'!A:C,2,FALSE),"")</f>
        <v/>
      </c>
      <c r="E8" s="270"/>
      <c r="G8" s="271"/>
      <c r="H8" s="272" t="s">
        <v>25</v>
      </c>
      <c r="I8" s="245" t="str">
        <f>IFERROR(VLOOKUP(B10,'Liste gobale'!A:M,13,FALSE),"")</f>
        <v/>
      </c>
      <c r="Q8" s="1"/>
    </row>
    <row r="9" spans="1:22" ht="6" customHeight="1" x14ac:dyDescent="0.45">
      <c r="C9" s="273"/>
      <c r="G9" s="271"/>
      <c r="H9" s="274"/>
      <c r="I9" s="275"/>
      <c r="Q9" s="1"/>
      <c r="V9" s="232" t="s">
        <v>30</v>
      </c>
    </row>
    <row r="10" spans="1:22" ht="22.9" customHeight="1" x14ac:dyDescent="0.5">
      <c r="B10" s="370"/>
      <c r="C10" s="269" t="s">
        <v>159</v>
      </c>
      <c r="D10" s="270" t="str">
        <f>IFERROR(VLOOKUP($B$10,'Liste gobale'!A:C,3,FALSE),"")</f>
        <v/>
      </c>
      <c r="E10" s="270"/>
      <c r="G10" s="271"/>
      <c r="H10" s="272" t="s">
        <v>45</v>
      </c>
      <c r="I10" s="246" t="str">
        <f>IFERROR(VLOOKUP(B10,'Liste gobale'!A:N,14,FALSE),"")</f>
        <v/>
      </c>
      <c r="Q10" s="1"/>
      <c r="R10" s="1"/>
      <c r="V10" s="231">
        <f>B10</f>
        <v>0</v>
      </c>
    </row>
    <row r="11" spans="1:22" ht="4.1500000000000004" customHeight="1" x14ac:dyDescent="0.35">
      <c r="G11" s="271"/>
      <c r="H11" s="274"/>
      <c r="I11" s="276"/>
      <c r="Q11" s="1"/>
      <c r="R11" s="1"/>
    </row>
    <row r="12" spans="1:22" ht="23" x14ac:dyDescent="0.5">
      <c r="G12" s="271"/>
      <c r="H12" s="272" t="s">
        <v>163</v>
      </c>
      <c r="I12" s="247" t="str">
        <f>IFERROR(VLOOKUP(B10,'Liste gobale'!A:Q,15,FALSE),"")</f>
        <v/>
      </c>
      <c r="Q12" s="1"/>
      <c r="R12" s="1"/>
      <c r="S12" s="1"/>
    </row>
    <row r="13" spans="1:22" ht="7.15" customHeight="1" x14ac:dyDescent="0.35">
      <c r="G13" s="271"/>
      <c r="H13" s="274"/>
      <c r="I13" s="276"/>
      <c r="Q13" s="1"/>
    </row>
    <row r="14" spans="1:22" ht="23" x14ac:dyDescent="0.5">
      <c r="G14" s="271"/>
      <c r="H14" s="272" t="s">
        <v>164</v>
      </c>
      <c r="I14" s="247" t="str">
        <f>IFERROR(VLOOKUP(B10,'Liste gobale'!A:R,18,FALSE),"")</f>
        <v/>
      </c>
      <c r="Q14" s="1"/>
    </row>
    <row r="15" spans="1:22" ht="6" customHeight="1" x14ac:dyDescent="0.35">
      <c r="G15" s="271"/>
      <c r="H15" s="274"/>
      <c r="I15" s="276"/>
      <c r="Q15" s="1"/>
    </row>
    <row r="16" spans="1:22" ht="23" x14ac:dyDescent="0.5">
      <c r="G16" s="271"/>
      <c r="H16" s="272" t="s">
        <v>165</v>
      </c>
      <c r="I16" s="247" t="str">
        <f>IFERROR(VLOOKUP(B10,'Liste gobale'!A:S,19,FALSE),"")</f>
        <v/>
      </c>
      <c r="Q16" s="1"/>
    </row>
    <row r="17" spans="2:34" ht="9.65" customHeight="1" thickBot="1" x14ac:dyDescent="0.4">
      <c r="G17" s="277"/>
      <c r="H17" s="278"/>
      <c r="I17" s="279"/>
      <c r="Q17" s="1"/>
      <c r="R17" s="122"/>
      <c r="S17" s="49"/>
      <c r="T17" s="49"/>
      <c r="U17" s="4"/>
      <c r="V17" s="5"/>
      <c r="W17" s="3"/>
      <c r="X17" s="3"/>
      <c r="Y17" s="2"/>
      <c r="Z17" s="2"/>
      <c r="AA17" s="2"/>
      <c r="AB17" s="2"/>
      <c r="AC17" s="2"/>
      <c r="AD17" s="248"/>
      <c r="AE17" s="249"/>
      <c r="AF17" s="248"/>
      <c r="AG17" s="250"/>
      <c r="AH17" s="248"/>
    </row>
    <row r="18" spans="2:34" ht="7.9" customHeight="1" x14ac:dyDescent="0.35">
      <c r="R18" s="122"/>
      <c r="S18" s="49"/>
      <c r="T18" s="51"/>
      <c r="U18" s="32"/>
      <c r="V18" s="33"/>
      <c r="W18" s="26"/>
      <c r="X18" s="17"/>
      <c r="Y18" s="34"/>
      <c r="Z18" s="23"/>
      <c r="AA18" s="23"/>
      <c r="AB18" s="2"/>
      <c r="AC18" s="2"/>
      <c r="AD18" s="248"/>
      <c r="AE18" s="251"/>
      <c r="AF18" s="248"/>
      <c r="AG18" s="248"/>
      <c r="AH18" s="248"/>
    </row>
    <row r="19" spans="2:34" x14ac:dyDescent="0.35">
      <c r="B19" s="252" t="s">
        <v>166</v>
      </c>
      <c r="C19" s="280" t="s">
        <v>184</v>
      </c>
      <c r="D19" s="281" t="s">
        <v>185</v>
      </c>
      <c r="E19" s="282" t="s">
        <v>186</v>
      </c>
      <c r="F19" s="282"/>
      <c r="G19" s="282"/>
      <c r="H19" s="282" t="s">
        <v>187</v>
      </c>
      <c r="I19" s="283" t="s">
        <v>201</v>
      </c>
      <c r="J19" s="282"/>
      <c r="K19" s="282" t="s">
        <v>202</v>
      </c>
      <c r="N19" s="38"/>
      <c r="O19" s="2"/>
      <c r="P19" s="248"/>
      <c r="Q19" s="251"/>
      <c r="R19" s="232" t="s">
        <v>74</v>
      </c>
      <c r="S19" s="232" t="s">
        <v>182</v>
      </c>
      <c r="T19" s="233" t="s">
        <v>166</v>
      </c>
      <c r="U19" s="232" t="s">
        <v>183</v>
      </c>
      <c r="V19" s="232" t="s">
        <v>30</v>
      </c>
      <c r="W19" s="232" t="s">
        <v>37</v>
      </c>
      <c r="X19" s="232" t="s">
        <v>38</v>
      </c>
      <c r="Y19" s="234" t="s">
        <v>184</v>
      </c>
      <c r="Z19" s="232" t="s">
        <v>185</v>
      </c>
      <c r="AA19" s="232" t="s">
        <v>186</v>
      </c>
      <c r="AB19" s="234" t="s">
        <v>187</v>
      </c>
      <c r="AC19" s="233" t="s">
        <v>188</v>
      </c>
      <c r="AD19" s="248"/>
      <c r="AE19" s="251"/>
      <c r="AF19" s="248"/>
      <c r="AG19" s="248"/>
      <c r="AH19" s="248"/>
    </row>
    <row r="20" spans="2:34" x14ac:dyDescent="0.35">
      <c r="B20" s="4" t="str">
        <f>IF(T20="","",T20)</f>
        <v/>
      </c>
      <c r="C20" s="253" t="str">
        <f>IF(Y20="","",Y20)</f>
        <v/>
      </c>
      <c r="D20" s="55" t="str">
        <f>IF(Z20="","",Z20)</f>
        <v/>
      </c>
      <c r="E20" s="55" t="str">
        <f>IF(AA20="","",AA20)</f>
        <v/>
      </c>
      <c r="F20" s="4"/>
      <c r="G20" s="4"/>
      <c r="H20" s="254" t="str">
        <f>IF(AB20="","",AB20)</f>
        <v/>
      </c>
      <c r="I20" s="255" t="str">
        <f>IF(S20="","",S20)</f>
        <v/>
      </c>
      <c r="J20" s="57"/>
      <c r="K20" s="255" t="str">
        <f>IF(R20="","",R20)</f>
        <v/>
      </c>
      <c r="R20" s="320"/>
      <c r="S20" s="316"/>
      <c r="T20" s="317"/>
      <c r="U20" s="318"/>
      <c r="V20" s="372"/>
      <c r="W20" s="318"/>
      <c r="X20" s="318"/>
      <c r="Y20" s="319"/>
      <c r="Z20" s="318"/>
      <c r="AA20" s="318"/>
      <c r="AB20" s="319"/>
      <c r="AC20" s="317"/>
      <c r="AD20" s="248"/>
      <c r="AE20" s="251"/>
      <c r="AF20" s="248"/>
      <c r="AG20" s="248"/>
      <c r="AH20" s="248"/>
    </row>
    <row r="21" spans="2:34" x14ac:dyDescent="0.35">
      <c r="B21" s="4" t="str">
        <f t="shared" ref="B21:B29" si="0">IF(T21="","",T21)</f>
        <v/>
      </c>
      <c r="C21" s="253" t="str">
        <f t="shared" ref="C21:C29" si="1">IF(Y21="","",Y21)</f>
        <v/>
      </c>
      <c r="D21" s="55" t="str">
        <f t="shared" ref="D21:D29" si="2">IF(Z21="","",Z21)</f>
        <v/>
      </c>
      <c r="E21" s="55" t="str">
        <f t="shared" ref="E21:E29" si="3">IF(AA21="","",AA21)</f>
        <v/>
      </c>
      <c r="F21" s="4"/>
      <c r="G21" s="4"/>
      <c r="H21" s="254" t="str">
        <f t="shared" ref="H21:H29" si="4">IF(AB21="","",AB21)</f>
        <v/>
      </c>
      <c r="I21" s="255" t="str">
        <f t="shared" ref="I21:I29" si="5">IF(S21="","",S21)</f>
        <v/>
      </c>
      <c r="J21" s="57"/>
      <c r="K21" s="255" t="str">
        <f t="shared" ref="K21:K29" si="6">IF(R21="","",R21)</f>
        <v/>
      </c>
      <c r="R21" s="316"/>
      <c r="S21" s="316"/>
      <c r="T21" s="317"/>
      <c r="U21" s="318"/>
      <c r="V21" s="326"/>
      <c r="W21" s="318"/>
      <c r="X21" s="318"/>
      <c r="Y21" s="319"/>
      <c r="Z21" s="318"/>
      <c r="AA21" s="318"/>
      <c r="AB21" s="319"/>
      <c r="AC21" s="317"/>
      <c r="AD21" s="248"/>
      <c r="AE21" s="251"/>
      <c r="AF21" s="248"/>
      <c r="AG21" s="248"/>
      <c r="AH21" s="248"/>
    </row>
    <row r="22" spans="2:34" x14ac:dyDescent="0.35">
      <c r="B22" s="4" t="str">
        <f t="shared" si="0"/>
        <v/>
      </c>
      <c r="C22" s="253" t="str">
        <f t="shared" si="1"/>
        <v/>
      </c>
      <c r="D22" s="55" t="str">
        <f t="shared" si="2"/>
        <v/>
      </c>
      <c r="E22" s="55" t="str">
        <f t="shared" si="3"/>
        <v/>
      </c>
      <c r="F22" s="4"/>
      <c r="G22" s="4"/>
      <c r="H22" s="254" t="str">
        <f t="shared" si="4"/>
        <v/>
      </c>
      <c r="I22" s="255" t="str">
        <f t="shared" si="5"/>
        <v/>
      </c>
      <c r="J22" s="57"/>
      <c r="K22" s="255" t="str">
        <f t="shared" si="6"/>
        <v/>
      </c>
      <c r="R22" s="320"/>
      <c r="S22" s="324"/>
      <c r="T22" s="321"/>
      <c r="U22" s="322"/>
      <c r="V22" s="328"/>
      <c r="W22" s="322"/>
      <c r="X22" s="322"/>
      <c r="Y22" s="323"/>
      <c r="Z22" s="322"/>
      <c r="AA22" s="322"/>
      <c r="AB22" s="323"/>
      <c r="AC22" s="321"/>
      <c r="AD22" s="248"/>
      <c r="AE22" s="251"/>
      <c r="AF22" s="248"/>
      <c r="AG22" s="248"/>
      <c r="AH22" s="248"/>
    </row>
    <row r="23" spans="2:34" x14ac:dyDescent="0.35">
      <c r="B23" s="4" t="str">
        <f t="shared" si="0"/>
        <v/>
      </c>
      <c r="C23" s="253" t="str">
        <f t="shared" si="1"/>
        <v/>
      </c>
      <c r="D23" s="55" t="str">
        <f t="shared" si="2"/>
        <v/>
      </c>
      <c r="E23" s="55" t="str">
        <f t="shared" si="3"/>
        <v/>
      </c>
      <c r="F23" s="4"/>
      <c r="G23" s="4"/>
      <c r="H23" s="254" t="str">
        <f t="shared" si="4"/>
        <v/>
      </c>
      <c r="I23" s="255" t="str">
        <f t="shared" si="5"/>
        <v/>
      </c>
      <c r="J23" s="57"/>
      <c r="K23" s="255" t="str">
        <f t="shared" si="6"/>
        <v/>
      </c>
      <c r="R23" s="320"/>
      <c r="S23" s="324"/>
      <c r="T23" s="321"/>
      <c r="U23" s="322"/>
      <c r="V23" s="328"/>
      <c r="W23" s="322"/>
      <c r="X23" s="322"/>
      <c r="Y23" s="323"/>
      <c r="Z23" s="322"/>
      <c r="AA23" s="322"/>
      <c r="AB23" s="323"/>
      <c r="AC23" s="321"/>
      <c r="AD23" s="248"/>
      <c r="AE23" s="249"/>
      <c r="AF23" s="248"/>
      <c r="AG23" s="250"/>
      <c r="AH23" s="248"/>
    </row>
    <row r="24" spans="2:34" x14ac:dyDescent="0.35">
      <c r="B24" s="4" t="str">
        <f t="shared" si="0"/>
        <v/>
      </c>
      <c r="C24" s="253" t="str">
        <f t="shared" si="1"/>
        <v/>
      </c>
      <c r="D24" s="55" t="str">
        <f t="shared" si="2"/>
        <v/>
      </c>
      <c r="E24" s="55" t="str">
        <f t="shared" si="3"/>
        <v/>
      </c>
      <c r="F24" s="4"/>
      <c r="G24" s="4"/>
      <c r="H24" s="254" t="str">
        <f t="shared" si="4"/>
        <v/>
      </c>
      <c r="I24" s="255" t="str">
        <f t="shared" si="5"/>
        <v/>
      </c>
      <c r="J24" s="57"/>
      <c r="K24" s="255" t="str">
        <f t="shared" si="6"/>
        <v/>
      </c>
      <c r="R24" s="320"/>
      <c r="S24" s="324"/>
      <c r="T24" s="321"/>
      <c r="U24" s="322"/>
      <c r="V24" s="328"/>
      <c r="W24" s="322"/>
      <c r="X24" s="322"/>
      <c r="Y24" s="323"/>
      <c r="Z24" s="322"/>
      <c r="AA24" s="322"/>
      <c r="AB24" s="323"/>
      <c r="AC24" s="321"/>
      <c r="AD24" s="248"/>
      <c r="AE24" s="249"/>
      <c r="AF24" s="248"/>
      <c r="AG24" s="250"/>
      <c r="AH24" s="248"/>
    </row>
    <row r="25" spans="2:34" x14ac:dyDescent="0.35">
      <c r="B25" s="4" t="str">
        <f t="shared" si="0"/>
        <v/>
      </c>
      <c r="C25" s="253" t="str">
        <f t="shared" si="1"/>
        <v/>
      </c>
      <c r="D25" s="55" t="str">
        <f t="shared" si="2"/>
        <v/>
      </c>
      <c r="E25" s="55" t="str">
        <f t="shared" si="3"/>
        <v/>
      </c>
      <c r="F25" s="4"/>
      <c r="G25" s="4"/>
      <c r="H25" s="254" t="str">
        <f t="shared" si="4"/>
        <v/>
      </c>
      <c r="I25" s="255" t="str">
        <f t="shared" si="5"/>
        <v/>
      </c>
      <c r="J25" s="57"/>
      <c r="K25" s="255" t="str">
        <f t="shared" si="6"/>
        <v/>
      </c>
      <c r="R25" s="320"/>
      <c r="S25" s="325"/>
      <c r="T25" s="321"/>
      <c r="U25" s="322"/>
      <c r="V25" s="328"/>
      <c r="W25" s="322"/>
      <c r="X25" s="322"/>
      <c r="Y25" s="323"/>
      <c r="Z25" s="322"/>
      <c r="AA25" s="322"/>
      <c r="AB25" s="323"/>
      <c r="AC25" s="321"/>
      <c r="AD25" s="248"/>
      <c r="AE25" s="249"/>
      <c r="AF25" s="248"/>
      <c r="AG25" s="250"/>
      <c r="AH25" s="248"/>
    </row>
    <row r="26" spans="2:34" x14ac:dyDescent="0.35">
      <c r="B26" s="4" t="str">
        <f t="shared" si="0"/>
        <v/>
      </c>
      <c r="C26" s="253" t="str">
        <f t="shared" si="1"/>
        <v/>
      </c>
      <c r="D26" s="55" t="str">
        <f t="shared" si="2"/>
        <v/>
      </c>
      <c r="E26" s="55" t="str">
        <f t="shared" si="3"/>
        <v/>
      </c>
      <c r="F26" s="4"/>
      <c r="G26" s="4"/>
      <c r="H26" s="254" t="str">
        <f t="shared" si="4"/>
        <v/>
      </c>
      <c r="I26" s="255" t="str">
        <f t="shared" si="5"/>
        <v/>
      </c>
      <c r="J26" s="57"/>
      <c r="K26" s="255" t="str">
        <f t="shared" si="6"/>
        <v/>
      </c>
      <c r="R26" s="320"/>
      <c r="S26" s="325"/>
      <c r="T26" s="321"/>
      <c r="U26" s="322"/>
      <c r="V26" s="328"/>
      <c r="W26" s="322"/>
      <c r="X26" s="322"/>
      <c r="Y26" s="323"/>
      <c r="Z26" s="322"/>
      <c r="AA26" s="322"/>
      <c r="AB26" s="323"/>
      <c r="AC26" s="321"/>
      <c r="AD26" s="248"/>
      <c r="AE26" s="249"/>
      <c r="AF26" s="248"/>
      <c r="AG26" s="250"/>
      <c r="AH26" s="248"/>
    </row>
    <row r="27" spans="2:34" ht="15.5" x14ac:dyDescent="0.35">
      <c r="B27" s="4" t="str">
        <f t="shared" si="0"/>
        <v/>
      </c>
      <c r="C27" s="253" t="str">
        <f t="shared" si="1"/>
        <v/>
      </c>
      <c r="D27" s="55" t="str">
        <f t="shared" si="2"/>
        <v/>
      </c>
      <c r="E27" s="55" t="str">
        <f t="shared" si="3"/>
        <v/>
      </c>
      <c r="F27" s="4"/>
      <c r="G27" s="4"/>
      <c r="H27" s="254" t="str">
        <f t="shared" si="4"/>
        <v/>
      </c>
      <c r="I27" s="255" t="str">
        <f t="shared" si="5"/>
        <v/>
      </c>
      <c r="J27" s="57"/>
      <c r="K27" s="255" t="str">
        <f t="shared" si="6"/>
        <v/>
      </c>
      <c r="R27" s="122"/>
      <c r="S27" s="49"/>
      <c r="T27" s="49"/>
      <c r="U27" s="4"/>
      <c r="V27" s="5"/>
      <c r="W27" s="3"/>
      <c r="X27" s="3"/>
      <c r="Y27" s="2"/>
      <c r="Z27" s="2"/>
      <c r="AA27" s="2"/>
      <c r="AB27" s="2"/>
      <c r="AC27" s="2"/>
      <c r="AD27" s="248"/>
      <c r="AE27" s="249"/>
      <c r="AF27" s="248"/>
      <c r="AG27" s="250"/>
      <c r="AH27" s="248"/>
    </row>
    <row r="28" spans="2:34" ht="15.5" x14ac:dyDescent="0.35">
      <c r="B28" s="4" t="str">
        <f t="shared" si="0"/>
        <v/>
      </c>
      <c r="C28" s="253" t="str">
        <f t="shared" si="1"/>
        <v/>
      </c>
      <c r="D28" s="55" t="str">
        <f t="shared" si="2"/>
        <v/>
      </c>
      <c r="E28" s="55" t="str">
        <f t="shared" si="3"/>
        <v/>
      </c>
      <c r="F28" s="4"/>
      <c r="G28" s="4"/>
      <c r="H28" s="254" t="str">
        <f t="shared" si="4"/>
        <v/>
      </c>
      <c r="I28" s="255" t="str">
        <f t="shared" si="5"/>
        <v/>
      </c>
      <c r="J28" s="57"/>
      <c r="K28" s="255" t="str">
        <f t="shared" si="6"/>
        <v/>
      </c>
      <c r="R28" s="122"/>
      <c r="S28" s="49"/>
      <c r="T28" s="49"/>
      <c r="U28" s="13"/>
      <c r="V28" s="14"/>
      <c r="W28" s="15"/>
      <c r="X28" s="16"/>
      <c r="Y28" s="1"/>
      <c r="Z28" s="2"/>
      <c r="AA28" s="2"/>
      <c r="AB28" s="38"/>
      <c r="AC28" s="38"/>
      <c r="AD28" s="248"/>
      <c r="AE28" s="251"/>
      <c r="AF28" s="248"/>
      <c r="AG28" s="248"/>
      <c r="AH28" s="248"/>
    </row>
    <row r="29" spans="2:34" ht="15.5" x14ac:dyDescent="0.35">
      <c r="B29" s="4" t="str">
        <f t="shared" si="0"/>
        <v/>
      </c>
      <c r="C29" s="253" t="str">
        <f t="shared" si="1"/>
        <v/>
      </c>
      <c r="D29" s="55" t="str">
        <f t="shared" si="2"/>
        <v/>
      </c>
      <c r="E29" s="55" t="str">
        <f t="shared" si="3"/>
        <v/>
      </c>
      <c r="F29" s="4"/>
      <c r="G29" s="4"/>
      <c r="H29" s="254" t="str">
        <f t="shared" si="4"/>
        <v/>
      </c>
      <c r="I29" s="255" t="str">
        <f t="shared" si="5"/>
        <v/>
      </c>
      <c r="J29" s="57"/>
      <c r="K29" s="255" t="str">
        <f t="shared" si="6"/>
        <v/>
      </c>
      <c r="R29" s="122"/>
      <c r="S29" s="49"/>
      <c r="T29" s="49"/>
      <c r="U29" s="4"/>
      <c r="V29" s="5"/>
      <c r="W29" s="3"/>
      <c r="X29" s="3"/>
      <c r="Y29" s="2"/>
      <c r="Z29" s="2"/>
      <c r="AA29" s="2"/>
      <c r="AB29" s="2"/>
      <c r="AC29" s="2"/>
      <c r="AD29" s="248"/>
      <c r="AE29" s="249"/>
      <c r="AF29" s="248"/>
      <c r="AG29" s="250"/>
      <c r="AH29" s="248"/>
    </row>
    <row r="30" spans="2:34" ht="15.5" x14ac:dyDescent="0.35">
      <c r="B30" s="122" t="str">
        <f t="shared" ref="B30:B65" si="7">IF(R30="","",R30)</f>
        <v/>
      </c>
      <c r="C30" s="55" t="str">
        <f t="shared" ref="C30:C65" si="8">IF(S30="","",S30)</f>
        <v/>
      </c>
      <c r="D30" s="55" t="str">
        <f t="shared" ref="D30:D65" si="9">IF(T30="","",T30)</f>
        <v/>
      </c>
      <c r="E30" s="55"/>
      <c r="F30" s="4"/>
      <c r="G30" s="4"/>
      <c r="R30" s="122"/>
      <c r="S30" s="49"/>
      <c r="T30" s="49"/>
      <c r="U30" s="4"/>
      <c r="V30" s="5"/>
      <c r="W30" s="3"/>
      <c r="X30" s="3"/>
      <c r="Y30" s="2"/>
      <c r="Z30" s="2"/>
      <c r="AA30" s="2"/>
      <c r="AB30" s="2"/>
      <c r="AC30" s="2"/>
      <c r="AD30" s="248"/>
      <c r="AE30" s="249"/>
      <c r="AF30" s="248"/>
      <c r="AG30" s="250"/>
      <c r="AH30" s="248"/>
    </row>
    <row r="31" spans="2:34" ht="15.5" x14ac:dyDescent="0.35">
      <c r="B31" s="122" t="str">
        <f t="shared" si="7"/>
        <v/>
      </c>
      <c r="C31" s="55" t="str">
        <f t="shared" si="8"/>
        <v/>
      </c>
      <c r="D31" s="55" t="str">
        <f t="shared" si="9"/>
        <v/>
      </c>
      <c r="E31" s="55"/>
      <c r="F31" s="4"/>
      <c r="G31" s="4"/>
      <c r="R31" s="122"/>
      <c r="S31" s="49"/>
      <c r="T31" s="49"/>
      <c r="U31" s="4"/>
      <c r="V31" s="5"/>
      <c r="W31" s="3"/>
      <c r="X31" s="3"/>
      <c r="Y31" s="2"/>
      <c r="Z31" s="2"/>
      <c r="AA31" s="2"/>
      <c r="AB31" s="2"/>
      <c r="AC31" s="2"/>
      <c r="AD31" s="248"/>
      <c r="AE31" s="249"/>
      <c r="AF31" s="248"/>
      <c r="AG31" s="250"/>
      <c r="AH31" s="248"/>
    </row>
    <row r="32" spans="2:34" ht="15.5" x14ac:dyDescent="0.35">
      <c r="B32" s="122" t="str">
        <f t="shared" si="7"/>
        <v/>
      </c>
      <c r="C32" s="55" t="str">
        <f t="shared" si="8"/>
        <v/>
      </c>
      <c r="D32" s="55" t="str">
        <f t="shared" si="9"/>
        <v/>
      </c>
      <c r="E32" s="55"/>
      <c r="F32" s="4"/>
      <c r="G32" s="4"/>
      <c r="R32" s="122"/>
      <c r="S32" s="49"/>
      <c r="T32" s="49"/>
      <c r="U32" s="4"/>
      <c r="V32" s="5"/>
      <c r="W32" s="3"/>
      <c r="X32" s="3"/>
      <c r="Y32" s="2"/>
      <c r="Z32" s="2"/>
      <c r="AA32" s="2"/>
      <c r="AB32" s="2"/>
      <c r="AC32" s="2"/>
      <c r="AD32" s="248"/>
      <c r="AE32" s="249"/>
      <c r="AF32" s="248"/>
      <c r="AG32" s="250"/>
      <c r="AH32" s="248"/>
    </row>
    <row r="33" spans="2:34" ht="15.5" x14ac:dyDescent="0.35">
      <c r="B33" s="122" t="str">
        <f t="shared" si="7"/>
        <v/>
      </c>
      <c r="C33" s="55" t="str">
        <f t="shared" si="8"/>
        <v/>
      </c>
      <c r="D33" s="55" t="str">
        <f t="shared" si="9"/>
        <v/>
      </c>
      <c r="E33" s="55"/>
      <c r="F33" s="4"/>
      <c r="G33" s="4"/>
      <c r="R33" s="122"/>
      <c r="S33" s="49"/>
      <c r="T33" s="49"/>
      <c r="U33" s="4"/>
      <c r="V33" s="5"/>
      <c r="W33" s="3"/>
      <c r="X33" s="3"/>
      <c r="Y33" s="2"/>
      <c r="Z33" s="2"/>
      <c r="AA33" s="2"/>
      <c r="AB33" s="2"/>
      <c r="AC33" s="2"/>
      <c r="AD33" s="248"/>
      <c r="AE33" s="249"/>
      <c r="AF33" s="248"/>
      <c r="AG33" s="250"/>
      <c r="AH33" s="248"/>
    </row>
    <row r="34" spans="2:34" ht="15.5" x14ac:dyDescent="0.35">
      <c r="B34" s="122" t="str">
        <f t="shared" si="7"/>
        <v/>
      </c>
      <c r="C34" s="55" t="str">
        <f t="shared" si="8"/>
        <v/>
      </c>
      <c r="D34" s="55" t="str">
        <f t="shared" si="9"/>
        <v/>
      </c>
      <c r="E34" s="55"/>
      <c r="F34" s="4"/>
      <c r="G34" s="4"/>
      <c r="R34" s="122"/>
      <c r="S34" s="56"/>
      <c r="T34" s="49"/>
      <c r="U34" s="13"/>
      <c r="V34" s="14"/>
      <c r="W34" s="15"/>
      <c r="X34" s="16"/>
      <c r="Y34" s="1"/>
      <c r="Z34" s="2"/>
      <c r="AA34" s="2"/>
      <c r="AB34" s="38"/>
      <c r="AC34" s="38"/>
      <c r="AD34" s="248"/>
      <c r="AE34" s="251"/>
      <c r="AF34" s="248"/>
      <c r="AG34" s="248"/>
      <c r="AH34" s="248"/>
    </row>
    <row r="35" spans="2:34" ht="15.5" x14ac:dyDescent="0.35">
      <c r="B35" s="122" t="str">
        <f t="shared" si="7"/>
        <v/>
      </c>
      <c r="C35" s="55" t="str">
        <f t="shared" si="8"/>
        <v/>
      </c>
      <c r="D35" s="55" t="str">
        <f t="shared" si="9"/>
        <v/>
      </c>
      <c r="E35" s="55"/>
      <c r="F35" s="4"/>
      <c r="G35" s="4"/>
      <c r="R35" s="122"/>
      <c r="S35" s="56"/>
      <c r="T35" s="49"/>
      <c r="U35" s="13"/>
      <c r="V35" s="14"/>
      <c r="W35" s="15"/>
      <c r="X35" s="16"/>
      <c r="Y35" s="1"/>
      <c r="Z35" s="2"/>
      <c r="AA35" s="2"/>
      <c r="AB35" s="38"/>
      <c r="AC35" s="38"/>
      <c r="AD35" s="248"/>
      <c r="AE35" s="251"/>
      <c r="AF35" s="248"/>
      <c r="AG35" s="248"/>
      <c r="AH35" s="248"/>
    </row>
    <row r="36" spans="2:34" ht="15.5" x14ac:dyDescent="0.35">
      <c r="B36" s="122" t="str">
        <f t="shared" si="7"/>
        <v/>
      </c>
      <c r="C36" s="55" t="str">
        <f t="shared" si="8"/>
        <v/>
      </c>
      <c r="D36" s="55" t="str">
        <f t="shared" si="9"/>
        <v/>
      </c>
      <c r="E36" s="55"/>
      <c r="F36" s="4"/>
      <c r="G36" s="4"/>
      <c r="R36" s="122"/>
      <c r="S36" s="56"/>
      <c r="T36" s="49"/>
      <c r="U36" s="13"/>
      <c r="V36" s="14"/>
      <c r="W36" s="15"/>
      <c r="X36" s="16"/>
      <c r="Y36" s="1"/>
      <c r="Z36" s="2"/>
      <c r="AA36" s="2"/>
      <c r="AB36" s="38"/>
      <c r="AC36" s="2"/>
      <c r="AD36" s="248"/>
      <c r="AE36" s="251"/>
      <c r="AF36" s="248"/>
      <c r="AG36" s="248"/>
      <c r="AH36" s="248"/>
    </row>
    <row r="37" spans="2:34" ht="15.5" x14ac:dyDescent="0.35">
      <c r="B37" s="122" t="str">
        <f t="shared" si="7"/>
        <v/>
      </c>
      <c r="C37" s="55" t="str">
        <f t="shared" si="8"/>
        <v/>
      </c>
      <c r="D37" s="55" t="str">
        <f t="shared" si="9"/>
        <v/>
      </c>
      <c r="E37" s="55"/>
      <c r="F37" s="4"/>
      <c r="G37" s="4"/>
      <c r="R37" s="122"/>
      <c r="S37" s="49"/>
      <c r="T37" s="49"/>
      <c r="U37" s="4"/>
      <c r="V37" s="5"/>
      <c r="W37" s="3"/>
      <c r="X37" s="3"/>
      <c r="Y37" s="2"/>
      <c r="Z37" s="2"/>
      <c r="AA37" s="2"/>
      <c r="AB37" s="2"/>
      <c r="AC37" s="2"/>
      <c r="AD37" s="248"/>
      <c r="AE37" s="249"/>
      <c r="AF37" s="248"/>
      <c r="AG37" s="250"/>
      <c r="AH37" s="248"/>
    </row>
    <row r="38" spans="2:34" ht="15.5" x14ac:dyDescent="0.35">
      <c r="B38" s="122" t="str">
        <f t="shared" si="7"/>
        <v/>
      </c>
      <c r="C38" s="55" t="str">
        <f t="shared" si="8"/>
        <v/>
      </c>
      <c r="D38" s="55" t="str">
        <f t="shared" si="9"/>
        <v/>
      </c>
      <c r="E38" s="55"/>
      <c r="F38" s="4"/>
      <c r="G38" s="4"/>
      <c r="R38" s="122"/>
      <c r="S38" s="49"/>
      <c r="T38" s="49"/>
      <c r="U38" s="4"/>
      <c r="V38" s="5"/>
      <c r="W38" s="3"/>
      <c r="X38" s="3"/>
      <c r="Y38" s="2"/>
      <c r="Z38" s="2"/>
      <c r="AA38" s="2"/>
      <c r="AB38" s="2"/>
      <c r="AC38" s="2"/>
      <c r="AD38" s="248"/>
      <c r="AE38" s="249"/>
      <c r="AF38" s="248"/>
      <c r="AG38" s="250"/>
      <c r="AH38" s="248"/>
    </row>
    <row r="39" spans="2:34" ht="15.5" x14ac:dyDescent="0.35">
      <c r="B39" s="122" t="str">
        <f t="shared" si="7"/>
        <v/>
      </c>
      <c r="C39" s="55" t="str">
        <f t="shared" si="8"/>
        <v/>
      </c>
      <c r="D39" s="55" t="str">
        <f t="shared" si="9"/>
        <v/>
      </c>
      <c r="E39" s="55"/>
      <c r="F39" s="4"/>
      <c r="G39" s="4"/>
      <c r="R39" s="122"/>
      <c r="S39" s="49"/>
      <c r="T39" s="49"/>
      <c r="U39" s="4"/>
      <c r="V39" s="5"/>
      <c r="W39" s="3"/>
      <c r="X39" s="3"/>
      <c r="Y39" s="2"/>
      <c r="Z39" s="2"/>
      <c r="AA39" s="2"/>
      <c r="AB39" s="2"/>
      <c r="AC39" s="2"/>
      <c r="AD39" s="248"/>
      <c r="AE39" s="249"/>
      <c r="AF39" s="248"/>
      <c r="AG39" s="250"/>
      <c r="AH39" s="248"/>
    </row>
    <row r="40" spans="2:34" ht="15.5" x14ac:dyDescent="0.35">
      <c r="B40" s="122" t="str">
        <f t="shared" si="7"/>
        <v/>
      </c>
      <c r="C40" s="55" t="str">
        <f t="shared" si="8"/>
        <v/>
      </c>
      <c r="D40" s="55" t="str">
        <f t="shared" si="9"/>
        <v/>
      </c>
      <c r="E40" s="55"/>
      <c r="F40" s="4"/>
      <c r="G40" s="4"/>
      <c r="R40" s="122"/>
      <c r="S40" s="49"/>
      <c r="T40" s="49"/>
      <c r="U40" s="4"/>
      <c r="V40" s="5"/>
      <c r="W40" s="3"/>
      <c r="X40" s="3"/>
      <c r="Y40" s="2"/>
      <c r="Z40" s="2"/>
      <c r="AA40" s="2"/>
      <c r="AB40" s="2"/>
      <c r="AC40" s="2"/>
      <c r="AD40" s="248"/>
      <c r="AE40" s="249"/>
      <c r="AF40" s="248"/>
      <c r="AG40" s="250"/>
      <c r="AH40" s="248"/>
    </row>
    <row r="41" spans="2:34" ht="15.5" x14ac:dyDescent="0.35">
      <c r="B41" s="122" t="str">
        <f t="shared" si="7"/>
        <v/>
      </c>
      <c r="C41" s="55" t="str">
        <f t="shared" si="8"/>
        <v/>
      </c>
      <c r="D41" s="55" t="str">
        <f t="shared" si="9"/>
        <v/>
      </c>
      <c r="E41" s="55"/>
      <c r="F41" s="4"/>
      <c r="G41" s="4"/>
      <c r="R41" s="122"/>
      <c r="S41" s="49"/>
      <c r="T41" s="49"/>
      <c r="U41" s="4"/>
      <c r="V41" s="5"/>
      <c r="W41" s="3"/>
      <c r="X41" s="3"/>
      <c r="Y41" s="2"/>
      <c r="Z41" s="2"/>
      <c r="AA41" s="2"/>
      <c r="AB41" s="2"/>
      <c r="AC41" s="2"/>
      <c r="AD41" s="248"/>
      <c r="AE41" s="249"/>
      <c r="AF41" s="248"/>
      <c r="AG41" s="250"/>
      <c r="AH41" s="248"/>
    </row>
    <row r="42" spans="2:34" ht="15.5" x14ac:dyDescent="0.35">
      <c r="B42" s="122" t="str">
        <f t="shared" si="7"/>
        <v/>
      </c>
      <c r="C42" s="55" t="str">
        <f t="shared" si="8"/>
        <v/>
      </c>
      <c r="D42" s="55" t="str">
        <f t="shared" si="9"/>
        <v/>
      </c>
      <c r="E42" s="55"/>
      <c r="F42" s="4"/>
      <c r="G42" s="4"/>
      <c r="R42" s="122"/>
      <c r="S42" s="49"/>
      <c r="T42" s="49"/>
      <c r="U42" s="4"/>
      <c r="V42" s="5"/>
      <c r="W42" s="3"/>
      <c r="X42" s="3"/>
      <c r="Y42" s="2"/>
      <c r="Z42" s="2"/>
      <c r="AA42" s="2"/>
      <c r="AB42" s="2"/>
      <c r="AC42" s="2"/>
      <c r="AD42" s="248"/>
      <c r="AE42" s="249"/>
      <c r="AF42" s="248"/>
      <c r="AG42" s="250"/>
      <c r="AH42" s="248"/>
    </row>
    <row r="43" spans="2:34" ht="15.5" x14ac:dyDescent="0.35">
      <c r="B43" s="122" t="str">
        <f t="shared" si="7"/>
        <v/>
      </c>
      <c r="C43" s="55" t="str">
        <f t="shared" si="8"/>
        <v/>
      </c>
      <c r="D43" s="55" t="str">
        <f t="shared" si="9"/>
        <v/>
      </c>
      <c r="E43" s="55"/>
      <c r="F43" s="4"/>
      <c r="G43" s="4"/>
      <c r="R43" s="122"/>
      <c r="S43" s="49"/>
      <c r="T43" s="50"/>
      <c r="U43" s="21"/>
      <c r="V43" s="22"/>
      <c r="W43" s="3"/>
      <c r="X43" s="17"/>
      <c r="Y43" s="23"/>
      <c r="Z43" s="23"/>
      <c r="AA43" s="23"/>
      <c r="AB43" s="2"/>
      <c r="AC43" s="2"/>
      <c r="AD43" s="248"/>
      <c r="AE43" s="251"/>
      <c r="AF43" s="248"/>
      <c r="AG43" s="248"/>
      <c r="AH43" s="248"/>
    </row>
    <row r="44" spans="2:34" ht="15.5" x14ac:dyDescent="0.35">
      <c r="B44" s="122" t="str">
        <f t="shared" si="7"/>
        <v/>
      </c>
      <c r="C44" s="55" t="str">
        <f t="shared" si="8"/>
        <v/>
      </c>
      <c r="D44" s="55" t="str">
        <f t="shared" si="9"/>
        <v/>
      </c>
      <c r="E44" s="55"/>
      <c r="F44" s="4"/>
      <c r="G44" s="4"/>
      <c r="R44" s="122"/>
      <c r="S44" s="49"/>
      <c r="T44" s="49"/>
      <c r="U44" s="13"/>
      <c r="V44" s="14"/>
      <c r="W44" s="15"/>
      <c r="X44" s="16"/>
      <c r="Y44" s="27"/>
      <c r="Z44" s="27"/>
      <c r="AA44" s="27"/>
      <c r="AB44" s="38"/>
      <c r="AC44" s="38"/>
      <c r="AD44" s="248"/>
      <c r="AE44" s="256"/>
      <c r="AF44" s="248"/>
      <c r="AG44" s="257"/>
      <c r="AH44" s="248"/>
    </row>
    <row r="45" spans="2:34" ht="15.5" x14ac:dyDescent="0.35">
      <c r="B45" s="122" t="str">
        <f t="shared" si="7"/>
        <v/>
      </c>
      <c r="C45" s="55" t="str">
        <f t="shared" si="8"/>
        <v/>
      </c>
      <c r="D45" s="55" t="str">
        <f t="shared" si="9"/>
        <v/>
      </c>
      <c r="E45" s="55"/>
      <c r="F45" s="4"/>
      <c r="G45" s="4"/>
      <c r="R45" s="122"/>
      <c r="S45" s="49"/>
      <c r="T45" s="49"/>
      <c r="U45" s="13"/>
      <c r="V45" s="14"/>
      <c r="W45" s="15"/>
      <c r="X45" s="16"/>
      <c r="Y45" s="1"/>
      <c r="Z45" s="2"/>
      <c r="AA45" s="2"/>
      <c r="AB45" s="38"/>
      <c r="AC45" s="2"/>
      <c r="AD45" s="248"/>
      <c r="AE45" s="251"/>
      <c r="AF45" s="248"/>
      <c r="AG45" s="248"/>
      <c r="AH45" s="248"/>
    </row>
    <row r="46" spans="2:34" ht="15.5" x14ac:dyDescent="0.35">
      <c r="B46" s="122" t="str">
        <f t="shared" si="7"/>
        <v/>
      </c>
      <c r="C46" s="55" t="str">
        <f t="shared" si="8"/>
        <v/>
      </c>
      <c r="D46" s="55" t="str">
        <f t="shared" si="9"/>
        <v/>
      </c>
      <c r="E46" s="55"/>
      <c r="F46" s="4"/>
      <c r="G46" s="4"/>
      <c r="R46" s="122"/>
      <c r="S46" s="49"/>
      <c r="T46" s="49"/>
      <c r="U46" s="13"/>
      <c r="V46" s="14"/>
      <c r="W46" s="15"/>
      <c r="X46" s="16"/>
      <c r="Y46" s="1"/>
      <c r="Z46" s="2"/>
      <c r="AA46" s="2"/>
      <c r="AB46" s="38"/>
      <c r="AC46" s="38"/>
      <c r="AD46" s="248"/>
      <c r="AE46" s="251"/>
      <c r="AF46" s="248"/>
      <c r="AG46" s="248"/>
      <c r="AH46" s="248"/>
    </row>
    <row r="47" spans="2:34" ht="15.5" x14ac:dyDescent="0.35">
      <c r="B47" s="122" t="str">
        <f t="shared" si="7"/>
        <v/>
      </c>
      <c r="C47" s="55" t="str">
        <f t="shared" si="8"/>
        <v/>
      </c>
      <c r="D47" s="55" t="str">
        <f t="shared" si="9"/>
        <v/>
      </c>
      <c r="E47" s="55"/>
      <c r="F47" s="4"/>
      <c r="G47" s="4"/>
      <c r="R47" s="122"/>
      <c r="S47" s="49"/>
      <c r="T47" s="49"/>
      <c r="U47" s="4"/>
      <c r="V47" s="5"/>
      <c r="W47" s="3"/>
      <c r="X47" s="3"/>
      <c r="Y47" s="2"/>
      <c r="Z47" s="2"/>
      <c r="AA47" s="2"/>
      <c r="AB47" s="2"/>
      <c r="AC47" s="2"/>
      <c r="AD47" s="248"/>
      <c r="AE47" s="249"/>
      <c r="AF47" s="248"/>
      <c r="AG47" s="250"/>
      <c r="AH47" s="248"/>
    </row>
    <row r="48" spans="2:34" ht="15.5" x14ac:dyDescent="0.35">
      <c r="B48" s="122" t="str">
        <f t="shared" si="7"/>
        <v/>
      </c>
      <c r="C48" s="55" t="str">
        <f t="shared" si="8"/>
        <v/>
      </c>
      <c r="D48" s="55" t="str">
        <f t="shared" si="9"/>
        <v/>
      </c>
      <c r="E48" s="55"/>
      <c r="F48" s="4"/>
      <c r="G48" s="4"/>
      <c r="R48" s="122"/>
      <c r="S48" s="49"/>
      <c r="T48" s="49"/>
      <c r="U48" s="13"/>
      <c r="V48" s="14"/>
      <c r="W48" s="15"/>
      <c r="X48" s="16"/>
      <c r="Y48" s="1"/>
      <c r="Z48" s="2"/>
      <c r="AA48" s="2"/>
      <c r="AB48" s="38"/>
      <c r="AC48" s="38"/>
      <c r="AD48" s="248"/>
      <c r="AE48" s="251"/>
      <c r="AF48" s="248"/>
      <c r="AG48" s="248"/>
      <c r="AH48" s="248"/>
    </row>
    <row r="49" spans="2:34" ht="15.5" x14ac:dyDescent="0.35">
      <c r="B49" s="122" t="str">
        <f t="shared" si="7"/>
        <v/>
      </c>
      <c r="C49" s="55" t="str">
        <f t="shared" si="8"/>
        <v/>
      </c>
      <c r="D49" s="55" t="str">
        <f t="shared" si="9"/>
        <v/>
      </c>
      <c r="E49" s="55"/>
      <c r="F49" s="4"/>
      <c r="G49" s="4"/>
      <c r="R49" s="122"/>
      <c r="S49" s="49"/>
      <c r="T49" s="49"/>
      <c r="U49" s="4"/>
      <c r="V49" s="5"/>
      <c r="W49" s="3"/>
      <c r="X49" s="3"/>
      <c r="Y49" s="2"/>
      <c r="Z49" s="2"/>
      <c r="AA49" s="2"/>
      <c r="AB49" s="2"/>
      <c r="AC49" s="2"/>
      <c r="AD49" s="248"/>
      <c r="AE49" s="249"/>
      <c r="AF49" s="248"/>
      <c r="AG49" s="250"/>
      <c r="AH49" s="248"/>
    </row>
    <row r="50" spans="2:34" ht="15.5" x14ac:dyDescent="0.35">
      <c r="B50" s="122" t="str">
        <f t="shared" si="7"/>
        <v/>
      </c>
      <c r="C50" s="55" t="str">
        <f t="shared" si="8"/>
        <v/>
      </c>
      <c r="D50" s="55" t="str">
        <f t="shared" si="9"/>
        <v/>
      </c>
      <c r="E50" s="55"/>
      <c r="F50" s="4"/>
      <c r="G50" s="4"/>
      <c r="R50" s="122"/>
      <c r="S50" s="49"/>
      <c r="T50" s="49"/>
      <c r="U50" s="4"/>
      <c r="V50" s="5"/>
      <c r="W50" s="3"/>
      <c r="X50" s="3"/>
      <c r="Y50" s="2"/>
      <c r="Z50" s="2"/>
      <c r="AA50" s="2"/>
      <c r="AB50" s="2"/>
      <c r="AC50" s="2"/>
      <c r="AD50" s="248"/>
      <c r="AE50" s="249"/>
      <c r="AF50" s="248"/>
      <c r="AG50" s="250"/>
      <c r="AH50" s="248"/>
    </row>
    <row r="51" spans="2:34" ht="15.5" x14ac:dyDescent="0.35">
      <c r="B51" s="122" t="str">
        <f t="shared" si="7"/>
        <v/>
      </c>
      <c r="C51" s="55" t="str">
        <f t="shared" si="8"/>
        <v/>
      </c>
      <c r="D51" s="55" t="str">
        <f t="shared" si="9"/>
        <v/>
      </c>
      <c r="E51" s="55"/>
      <c r="F51" s="4"/>
      <c r="G51" s="4"/>
      <c r="R51" s="122"/>
      <c r="S51" s="49"/>
      <c r="T51" s="49"/>
      <c r="U51" s="13"/>
      <c r="V51" s="14"/>
      <c r="W51" s="15"/>
      <c r="X51" s="16"/>
      <c r="Y51" s="1"/>
      <c r="Z51" s="2"/>
      <c r="AA51" s="2"/>
      <c r="AB51" s="38"/>
      <c r="AC51" s="38"/>
      <c r="AD51" s="248"/>
      <c r="AE51" s="251"/>
      <c r="AF51" s="248"/>
      <c r="AG51" s="248"/>
      <c r="AH51" s="248"/>
    </row>
    <row r="52" spans="2:34" ht="15.5" x14ac:dyDescent="0.35">
      <c r="B52" s="122" t="str">
        <f t="shared" si="7"/>
        <v/>
      </c>
      <c r="C52" s="55" t="str">
        <f t="shared" si="8"/>
        <v/>
      </c>
      <c r="D52" s="55" t="str">
        <f t="shared" si="9"/>
        <v/>
      </c>
      <c r="E52" s="55"/>
      <c r="F52" s="4"/>
      <c r="G52" s="4"/>
      <c r="R52" s="122"/>
      <c r="S52" s="49"/>
      <c r="T52" s="49"/>
      <c r="U52" s="13"/>
      <c r="V52" s="14"/>
      <c r="W52" s="15"/>
      <c r="X52" s="16"/>
      <c r="Y52" s="1"/>
      <c r="Z52" s="2"/>
      <c r="AA52" s="2"/>
      <c r="AB52" s="38"/>
      <c r="AC52" s="38"/>
      <c r="AD52" s="248"/>
      <c r="AE52" s="251"/>
      <c r="AF52" s="248"/>
      <c r="AG52" s="248"/>
      <c r="AH52" s="248"/>
    </row>
    <row r="53" spans="2:34" ht="15.5" x14ac:dyDescent="0.35">
      <c r="B53" s="122" t="str">
        <f t="shared" si="7"/>
        <v/>
      </c>
      <c r="C53" s="55" t="str">
        <f t="shared" si="8"/>
        <v/>
      </c>
      <c r="D53" s="55" t="str">
        <f t="shared" si="9"/>
        <v/>
      </c>
      <c r="E53" s="55"/>
      <c r="F53" s="4"/>
      <c r="G53" s="4"/>
      <c r="R53" s="122"/>
      <c r="S53" s="49"/>
      <c r="T53" s="51"/>
      <c r="U53" s="35"/>
      <c r="V53" s="36"/>
      <c r="W53" s="26"/>
      <c r="X53" s="17"/>
      <c r="Y53" s="31"/>
      <c r="Z53" s="23"/>
      <c r="AA53" s="23"/>
      <c r="AB53" s="2"/>
      <c r="AC53" s="2"/>
      <c r="AD53" s="248"/>
      <c r="AE53" s="251"/>
      <c r="AF53" s="248"/>
      <c r="AG53" s="248"/>
      <c r="AH53" s="248"/>
    </row>
    <row r="54" spans="2:34" ht="15.5" x14ac:dyDescent="0.35">
      <c r="B54" s="122" t="str">
        <f t="shared" si="7"/>
        <v/>
      </c>
      <c r="C54" s="55" t="str">
        <f t="shared" si="8"/>
        <v/>
      </c>
      <c r="D54" s="55" t="str">
        <f t="shared" si="9"/>
        <v/>
      </c>
      <c r="E54" s="55"/>
      <c r="F54" s="4"/>
      <c r="G54" s="4"/>
      <c r="R54" s="122"/>
      <c r="S54" s="49"/>
      <c r="T54" s="51"/>
      <c r="U54" s="32"/>
      <c r="V54" s="33"/>
      <c r="W54" s="26"/>
      <c r="X54" s="17"/>
      <c r="Y54" s="34"/>
      <c r="Z54" s="23"/>
      <c r="AA54" s="23"/>
      <c r="AB54" s="2"/>
      <c r="AC54" s="2"/>
      <c r="AD54" s="248"/>
      <c r="AE54" s="251"/>
      <c r="AF54" s="248"/>
      <c r="AG54" s="248"/>
      <c r="AH54" s="248"/>
    </row>
    <row r="55" spans="2:34" ht="15.5" x14ac:dyDescent="0.35">
      <c r="B55" s="122" t="str">
        <f t="shared" si="7"/>
        <v/>
      </c>
      <c r="C55" s="55" t="str">
        <f t="shared" si="8"/>
        <v/>
      </c>
      <c r="D55" s="55" t="str">
        <f t="shared" si="9"/>
        <v/>
      </c>
      <c r="E55" s="55"/>
      <c r="F55" s="4"/>
      <c r="G55" s="4"/>
      <c r="R55" s="122"/>
      <c r="S55" s="49"/>
      <c r="T55" s="50"/>
      <c r="U55" s="21"/>
      <c r="V55" s="22"/>
      <c r="W55" s="26"/>
      <c r="X55" s="17"/>
      <c r="Y55" s="23"/>
      <c r="Z55" s="23"/>
      <c r="AA55" s="23"/>
      <c r="AB55" s="2"/>
      <c r="AC55" s="2"/>
      <c r="AD55" s="248"/>
      <c r="AE55" s="251"/>
      <c r="AF55" s="248"/>
      <c r="AG55" s="248"/>
      <c r="AH55" s="248"/>
    </row>
    <row r="56" spans="2:34" ht="15.5" x14ac:dyDescent="0.35">
      <c r="B56" s="122" t="str">
        <f t="shared" si="7"/>
        <v/>
      </c>
      <c r="C56" s="55" t="str">
        <f t="shared" si="8"/>
        <v/>
      </c>
      <c r="D56" s="55" t="str">
        <f t="shared" si="9"/>
        <v/>
      </c>
      <c r="E56" s="55"/>
      <c r="F56" s="4"/>
      <c r="G56" s="4"/>
      <c r="R56" s="122"/>
      <c r="S56" s="49"/>
      <c r="T56" s="49"/>
      <c r="U56" s="4"/>
      <c r="V56" s="5"/>
      <c r="W56" s="3"/>
      <c r="X56" s="17"/>
      <c r="Y56" s="2"/>
      <c r="Z56" s="2"/>
      <c r="AA56" s="2"/>
      <c r="AB56" s="2"/>
      <c r="AC56" s="2"/>
      <c r="AD56" s="248"/>
      <c r="AE56" s="258"/>
      <c r="AF56" s="248"/>
      <c r="AG56" s="248"/>
      <c r="AH56" s="248"/>
    </row>
    <row r="57" spans="2:34" ht="15.5" x14ac:dyDescent="0.35">
      <c r="B57" s="122" t="str">
        <f t="shared" si="7"/>
        <v/>
      </c>
      <c r="C57" s="55" t="str">
        <f t="shared" si="8"/>
        <v/>
      </c>
      <c r="D57" s="55" t="str">
        <f t="shared" si="9"/>
        <v/>
      </c>
      <c r="E57" s="55"/>
      <c r="F57" s="4"/>
      <c r="G57" s="4"/>
      <c r="R57" s="122"/>
      <c r="S57" s="49"/>
      <c r="T57" s="50"/>
      <c r="U57" s="21"/>
      <c r="V57" s="22"/>
      <c r="W57" s="26"/>
      <c r="X57" s="17"/>
      <c r="Y57" s="23"/>
      <c r="Z57" s="23"/>
      <c r="AA57" s="23"/>
      <c r="AB57" s="2"/>
      <c r="AC57" s="2"/>
      <c r="AD57" s="248"/>
      <c r="AE57" s="251"/>
      <c r="AF57" s="248"/>
      <c r="AG57" s="248"/>
      <c r="AH57" s="248"/>
    </row>
    <row r="58" spans="2:34" ht="15.5" x14ac:dyDescent="0.35">
      <c r="B58" s="122" t="str">
        <f t="shared" si="7"/>
        <v/>
      </c>
      <c r="C58" s="55" t="str">
        <f t="shared" si="8"/>
        <v/>
      </c>
      <c r="D58" s="55" t="str">
        <f t="shared" si="9"/>
        <v/>
      </c>
      <c r="E58" s="55"/>
      <c r="F58" s="4"/>
      <c r="G58" s="4"/>
      <c r="R58" s="122"/>
      <c r="S58" s="49"/>
      <c r="T58" s="50"/>
      <c r="U58" s="21"/>
      <c r="V58" s="22"/>
      <c r="W58" s="3"/>
      <c r="X58" s="17"/>
      <c r="Y58" s="23"/>
      <c r="Z58" s="23"/>
      <c r="AA58" s="23"/>
      <c r="AB58" s="2"/>
      <c r="AC58" s="2"/>
      <c r="AD58" s="248"/>
      <c r="AE58" s="251"/>
      <c r="AF58" s="248"/>
      <c r="AG58" s="248"/>
      <c r="AH58" s="248"/>
    </row>
    <row r="59" spans="2:34" ht="15.5" x14ac:dyDescent="0.35">
      <c r="B59" s="122" t="str">
        <f t="shared" si="7"/>
        <v/>
      </c>
      <c r="C59" s="55" t="str">
        <f t="shared" si="8"/>
        <v/>
      </c>
      <c r="D59" s="55" t="str">
        <f t="shared" si="9"/>
        <v/>
      </c>
      <c r="E59" s="55"/>
      <c r="F59" s="4"/>
      <c r="G59" s="4"/>
      <c r="R59" s="122"/>
      <c r="S59" s="49"/>
      <c r="T59" s="50"/>
      <c r="U59" s="21"/>
      <c r="V59" s="22"/>
      <c r="W59" s="26"/>
      <c r="X59" s="17"/>
      <c r="Y59" s="23"/>
      <c r="Z59" s="23"/>
      <c r="AA59" s="23"/>
      <c r="AB59" s="2"/>
      <c r="AC59" s="2"/>
      <c r="AD59" s="248"/>
      <c r="AE59" s="251"/>
      <c r="AF59" s="248"/>
      <c r="AG59" s="248"/>
      <c r="AH59" s="248"/>
    </row>
    <row r="60" spans="2:34" ht="15.5" x14ac:dyDescent="0.35">
      <c r="B60" s="122" t="str">
        <f t="shared" si="7"/>
        <v/>
      </c>
      <c r="C60" s="55" t="str">
        <f t="shared" si="8"/>
        <v/>
      </c>
      <c r="D60" s="55" t="str">
        <f t="shared" si="9"/>
        <v/>
      </c>
      <c r="E60" s="55"/>
      <c r="F60" s="4"/>
      <c r="G60" s="4"/>
      <c r="R60" s="122"/>
      <c r="S60" s="49"/>
      <c r="T60" s="50"/>
      <c r="U60" s="21"/>
      <c r="V60" s="22"/>
      <c r="W60" s="3"/>
      <c r="X60" s="17"/>
      <c r="Y60" s="23"/>
      <c r="Z60" s="23"/>
      <c r="AA60" s="23"/>
      <c r="AB60" s="2"/>
      <c r="AC60" s="2"/>
      <c r="AD60" s="248"/>
      <c r="AE60" s="251"/>
      <c r="AF60" s="248"/>
      <c r="AG60" s="248"/>
      <c r="AH60" s="248"/>
    </row>
    <row r="61" spans="2:34" ht="15.5" x14ac:dyDescent="0.35">
      <c r="B61" s="122" t="str">
        <f t="shared" si="7"/>
        <v/>
      </c>
      <c r="C61" s="55" t="str">
        <f t="shared" si="8"/>
        <v/>
      </c>
      <c r="D61" s="55" t="str">
        <f t="shared" si="9"/>
        <v/>
      </c>
      <c r="E61" s="55"/>
      <c r="F61" s="4"/>
      <c r="G61" s="4"/>
      <c r="R61" s="122"/>
      <c r="S61" s="49"/>
      <c r="T61" s="51"/>
      <c r="U61" s="32"/>
      <c r="V61" s="33"/>
      <c r="W61" s="3"/>
      <c r="X61" s="17"/>
      <c r="Y61" s="34"/>
      <c r="Z61" s="23"/>
      <c r="AA61" s="23"/>
      <c r="AB61" s="2"/>
      <c r="AC61" s="2"/>
      <c r="AD61" s="248"/>
      <c r="AE61" s="251"/>
      <c r="AF61" s="248"/>
      <c r="AG61" s="248"/>
      <c r="AH61" s="248"/>
    </row>
    <row r="62" spans="2:34" ht="15.5" x14ac:dyDescent="0.35">
      <c r="B62" s="122" t="str">
        <f t="shared" si="7"/>
        <v/>
      </c>
      <c r="C62" s="55" t="str">
        <f t="shared" si="8"/>
        <v/>
      </c>
      <c r="D62" s="55" t="str">
        <f t="shared" si="9"/>
        <v/>
      </c>
      <c r="E62" s="55"/>
      <c r="F62" s="4"/>
      <c r="G62" s="4"/>
      <c r="R62" s="122"/>
      <c r="S62" s="49"/>
      <c r="T62" s="50"/>
      <c r="U62" s="21"/>
      <c r="V62" s="22"/>
      <c r="W62" s="26"/>
      <c r="X62" s="17"/>
      <c r="Y62" s="23"/>
      <c r="Z62" s="23"/>
      <c r="AA62" s="23"/>
      <c r="AB62" s="2"/>
      <c r="AC62" s="2"/>
      <c r="AD62" s="248"/>
      <c r="AE62" s="251"/>
      <c r="AF62" s="248"/>
      <c r="AG62" s="248"/>
      <c r="AH62" s="248"/>
    </row>
    <row r="63" spans="2:34" ht="15.5" x14ac:dyDescent="0.35">
      <c r="B63" s="122" t="str">
        <f t="shared" si="7"/>
        <v/>
      </c>
      <c r="C63" s="55" t="str">
        <f t="shared" si="8"/>
        <v/>
      </c>
      <c r="D63" s="55" t="str">
        <f t="shared" si="9"/>
        <v/>
      </c>
      <c r="E63" s="55"/>
      <c r="F63" s="4"/>
      <c r="G63" s="4"/>
      <c r="R63" s="122"/>
      <c r="S63" s="49"/>
      <c r="T63" s="50"/>
      <c r="U63" s="21"/>
      <c r="V63" s="22"/>
      <c r="W63" s="3"/>
      <c r="X63" s="17"/>
      <c r="Y63" s="23"/>
      <c r="Z63" s="23"/>
      <c r="AA63" s="23"/>
      <c r="AB63" s="2"/>
      <c r="AC63" s="2"/>
      <c r="AD63" s="248"/>
      <c r="AE63" s="251"/>
      <c r="AF63" s="248"/>
      <c r="AG63" s="248"/>
      <c r="AH63" s="248"/>
    </row>
    <row r="64" spans="2:34" ht="15.5" x14ac:dyDescent="0.35">
      <c r="B64" s="122" t="str">
        <f t="shared" si="7"/>
        <v/>
      </c>
      <c r="C64" s="55" t="str">
        <f t="shared" si="8"/>
        <v/>
      </c>
      <c r="D64" s="55" t="str">
        <f t="shared" si="9"/>
        <v/>
      </c>
      <c r="E64" s="55"/>
      <c r="F64" s="4"/>
      <c r="G64" s="4"/>
      <c r="R64" s="122"/>
      <c r="S64" s="49"/>
      <c r="T64" s="49"/>
      <c r="U64" s="28"/>
      <c r="V64" s="29"/>
      <c r="W64" s="15"/>
      <c r="X64" s="17"/>
      <c r="Y64" s="30"/>
      <c r="Z64" s="23"/>
      <c r="AA64" s="23"/>
      <c r="AB64" s="2"/>
      <c r="AC64" s="2"/>
      <c r="AD64" s="248"/>
      <c r="AE64" s="251"/>
      <c r="AF64" s="248"/>
      <c r="AG64" s="248"/>
      <c r="AH64" s="248"/>
    </row>
    <row r="65" spans="2:34" ht="15.5" x14ac:dyDescent="0.35">
      <c r="B65" s="122" t="str">
        <f t="shared" si="7"/>
        <v/>
      </c>
      <c r="C65" s="55" t="str">
        <f t="shared" si="8"/>
        <v/>
      </c>
      <c r="D65" s="55" t="str">
        <f t="shared" si="9"/>
        <v/>
      </c>
      <c r="E65" s="55"/>
      <c r="F65" s="4"/>
      <c r="G65" s="4"/>
      <c r="R65" s="122"/>
      <c r="S65" s="49"/>
      <c r="T65" s="51"/>
      <c r="U65" s="32"/>
      <c r="V65" s="33"/>
      <c r="W65" s="26"/>
      <c r="X65" s="17"/>
      <c r="Y65" s="34"/>
      <c r="Z65" s="23"/>
      <c r="AA65" s="23"/>
      <c r="AB65" s="2"/>
      <c r="AC65" s="2"/>
      <c r="AD65" s="248"/>
      <c r="AE65" s="251"/>
      <c r="AF65" s="248"/>
      <c r="AG65" s="248"/>
      <c r="AH65" s="248"/>
    </row>
    <row r="66" spans="2:34" ht="15.5" x14ac:dyDescent="0.35">
      <c r="B66" s="122"/>
      <c r="R66" s="122"/>
      <c r="S66" s="49"/>
      <c r="T66" s="50"/>
      <c r="U66" s="21"/>
      <c r="V66" s="22"/>
      <c r="W66" s="26"/>
      <c r="X66" s="17"/>
      <c r="Y66" s="23"/>
      <c r="Z66" s="23"/>
      <c r="AA66" s="23"/>
      <c r="AB66" s="2"/>
      <c r="AC66" s="2"/>
      <c r="AD66" s="248"/>
      <c r="AE66" s="251"/>
      <c r="AF66" s="248"/>
      <c r="AG66" s="248"/>
      <c r="AH66" s="248"/>
    </row>
    <row r="67" spans="2:34" ht="15.5" x14ac:dyDescent="0.35">
      <c r="B67" s="122"/>
      <c r="R67" s="122"/>
      <c r="S67" s="49"/>
      <c r="T67" s="51"/>
      <c r="U67" s="32"/>
      <c r="V67" s="33"/>
      <c r="W67" s="26"/>
      <c r="X67" s="17"/>
      <c r="Y67" s="34"/>
      <c r="Z67" s="23"/>
      <c r="AA67" s="23"/>
      <c r="AB67" s="2"/>
      <c r="AC67" s="2"/>
      <c r="AD67" s="248"/>
      <c r="AE67" s="251"/>
      <c r="AF67" s="248"/>
      <c r="AG67" s="248"/>
      <c r="AH67" s="248"/>
    </row>
    <row r="68" spans="2:34" ht="15.5" x14ac:dyDescent="0.35">
      <c r="B68" s="122"/>
      <c r="R68" s="122"/>
      <c r="S68" s="49"/>
      <c r="T68" s="51"/>
      <c r="U68" s="32"/>
      <c r="V68" s="33"/>
      <c r="W68" s="26"/>
      <c r="X68" s="17"/>
      <c r="Y68" s="34"/>
      <c r="Z68" s="23"/>
      <c r="AA68" s="23"/>
      <c r="AB68" s="2"/>
      <c r="AC68" s="2"/>
      <c r="AD68" s="248"/>
      <c r="AE68" s="251"/>
      <c r="AF68" s="248"/>
      <c r="AG68" s="248"/>
      <c r="AH68" s="248"/>
    </row>
    <row r="69" spans="2:34" ht="15.5" x14ac:dyDescent="0.35">
      <c r="B69" s="122"/>
      <c r="R69" s="122"/>
      <c r="S69" s="49"/>
      <c r="T69" s="49"/>
      <c r="U69" s="4"/>
      <c r="V69" s="5"/>
      <c r="W69" s="15"/>
      <c r="X69" s="3"/>
      <c r="Y69" s="2"/>
      <c r="Z69" s="2"/>
      <c r="AA69" s="2"/>
      <c r="AB69" s="2"/>
      <c r="AC69" s="2"/>
      <c r="AD69" s="248"/>
      <c r="AE69" s="251"/>
      <c r="AF69" s="248"/>
      <c r="AG69" s="248"/>
      <c r="AH69" s="248"/>
    </row>
    <row r="70" spans="2:34" ht="15.5" x14ac:dyDescent="0.35">
      <c r="B70" s="122"/>
      <c r="R70" s="122"/>
      <c r="S70" s="49"/>
      <c r="T70" s="49"/>
      <c r="U70" s="4"/>
      <c r="V70" s="5"/>
      <c r="W70" s="3"/>
      <c r="X70" s="3"/>
      <c r="Y70" s="2"/>
      <c r="Z70" s="2"/>
      <c r="AA70" s="2"/>
      <c r="AB70" s="2"/>
      <c r="AC70" s="2"/>
      <c r="AD70" s="248"/>
      <c r="AE70" s="249"/>
      <c r="AF70" s="248"/>
      <c r="AG70" s="250"/>
      <c r="AH70" s="248"/>
    </row>
    <row r="71" spans="2:34" ht="15.5" x14ac:dyDescent="0.35">
      <c r="B71" s="122"/>
      <c r="R71" s="122"/>
      <c r="S71" s="49"/>
      <c r="T71" s="49"/>
      <c r="U71" s="4"/>
      <c r="V71" s="5"/>
      <c r="W71" s="3"/>
      <c r="X71" s="3"/>
      <c r="Y71" s="2"/>
      <c r="Z71" s="2"/>
      <c r="AA71" s="2"/>
      <c r="AB71" s="2"/>
      <c r="AC71" s="2"/>
      <c r="AD71" s="248"/>
      <c r="AE71" s="249"/>
      <c r="AF71" s="248"/>
      <c r="AG71" s="250"/>
      <c r="AH71" s="248"/>
    </row>
    <row r="72" spans="2:34" ht="15.5" x14ac:dyDescent="0.35">
      <c r="B72" s="122"/>
      <c r="R72" s="122"/>
      <c r="S72" s="49"/>
      <c r="T72" s="49"/>
      <c r="U72" s="4"/>
      <c r="V72" s="5"/>
      <c r="W72" s="3"/>
      <c r="X72" s="3"/>
      <c r="Y72" s="2"/>
      <c r="Z72" s="2"/>
      <c r="AA72" s="2"/>
      <c r="AB72" s="2"/>
      <c r="AC72" s="2"/>
      <c r="AD72" s="248"/>
      <c r="AE72" s="249"/>
      <c r="AF72" s="248"/>
      <c r="AG72" s="250"/>
      <c r="AH72" s="248"/>
    </row>
    <row r="73" spans="2:34" ht="15.5" x14ac:dyDescent="0.35">
      <c r="B73" s="122"/>
      <c r="R73" s="122"/>
      <c r="S73" s="49"/>
      <c r="T73" s="49"/>
      <c r="U73" s="4"/>
      <c r="V73" s="5"/>
      <c r="W73" s="3"/>
      <c r="X73" s="3"/>
      <c r="Y73" s="2"/>
      <c r="Z73" s="2"/>
      <c r="AA73" s="2"/>
      <c r="AB73" s="2"/>
      <c r="AC73" s="2"/>
      <c r="AD73" s="248"/>
      <c r="AE73" s="249"/>
      <c r="AF73" s="248"/>
      <c r="AG73" s="250"/>
      <c r="AH73" s="248"/>
    </row>
    <row r="74" spans="2:34" ht="15.5" x14ac:dyDescent="0.35">
      <c r="B74" s="122"/>
      <c r="R74" s="122"/>
      <c r="S74" s="49"/>
      <c r="T74" s="49"/>
      <c r="U74" s="4"/>
      <c r="V74" s="5"/>
      <c r="W74" s="3"/>
      <c r="X74" s="3"/>
      <c r="Y74" s="2"/>
      <c r="Z74" s="2"/>
      <c r="AA74" s="2"/>
      <c r="AB74" s="2"/>
      <c r="AC74" s="2"/>
      <c r="AD74" s="248"/>
      <c r="AE74" s="249"/>
      <c r="AF74" s="248"/>
      <c r="AG74" s="250"/>
      <c r="AH74" s="248"/>
    </row>
    <row r="75" spans="2:34" ht="15.5" x14ac:dyDescent="0.35">
      <c r="B75" s="122"/>
      <c r="R75" s="122"/>
      <c r="S75" s="49"/>
      <c r="T75" s="49"/>
      <c r="U75" s="4"/>
      <c r="V75" s="5"/>
      <c r="W75" s="3"/>
      <c r="X75" s="3"/>
      <c r="Y75" s="2"/>
      <c r="Z75" s="2"/>
      <c r="AA75" s="2"/>
      <c r="AB75" s="2"/>
      <c r="AC75" s="2"/>
      <c r="AD75" s="248"/>
      <c r="AE75" s="249"/>
      <c r="AF75" s="248"/>
      <c r="AG75" s="250"/>
      <c r="AH75" s="248"/>
    </row>
    <row r="76" spans="2:34" ht="15.5" x14ac:dyDescent="0.35">
      <c r="B76" s="122"/>
      <c r="R76" s="122"/>
      <c r="S76" s="49"/>
      <c r="T76" s="49"/>
      <c r="U76" s="13"/>
      <c r="V76" s="14"/>
      <c r="W76" s="15"/>
      <c r="X76" s="16"/>
      <c r="Y76" s="1"/>
      <c r="Z76" s="2"/>
      <c r="AA76" s="2"/>
      <c r="AB76" s="38"/>
      <c r="AC76" s="38"/>
      <c r="AD76" s="248"/>
      <c r="AE76" s="251"/>
      <c r="AF76" s="248"/>
      <c r="AG76" s="248"/>
      <c r="AH76" s="248"/>
    </row>
    <row r="77" spans="2:34" ht="15.5" x14ac:dyDescent="0.35">
      <c r="B77" s="122"/>
      <c r="R77" s="122"/>
      <c r="S77" s="49"/>
      <c r="T77" s="49"/>
      <c r="U77" s="4"/>
      <c r="V77" s="5"/>
      <c r="W77" s="3"/>
      <c r="X77" s="3"/>
      <c r="Y77" s="2"/>
      <c r="Z77" s="2"/>
      <c r="AA77" s="2"/>
      <c r="AB77" s="2"/>
      <c r="AC77" s="2"/>
      <c r="AD77" s="248"/>
      <c r="AE77" s="249"/>
      <c r="AF77" s="248"/>
      <c r="AG77" s="250"/>
      <c r="AH77" s="248"/>
    </row>
    <row r="78" spans="2:34" ht="15.5" x14ac:dyDescent="0.35">
      <c r="B78" s="122"/>
      <c r="R78" s="122"/>
      <c r="S78" s="49"/>
      <c r="T78" s="49"/>
      <c r="U78" s="4"/>
      <c r="V78" s="5"/>
      <c r="W78" s="3"/>
      <c r="X78" s="3"/>
      <c r="Y78" s="2"/>
      <c r="Z78" s="2"/>
      <c r="AA78" s="2"/>
      <c r="AB78" s="2"/>
      <c r="AC78" s="2"/>
      <c r="AD78" s="248"/>
      <c r="AE78" s="249"/>
      <c r="AF78" s="248"/>
      <c r="AG78" s="250"/>
      <c r="AH78" s="248"/>
    </row>
    <row r="79" spans="2:34" ht="15.5" x14ac:dyDescent="0.35">
      <c r="B79" s="122"/>
      <c r="R79" s="122"/>
      <c r="S79" s="49"/>
      <c r="T79" s="49"/>
      <c r="U79" s="13"/>
      <c r="V79" s="14"/>
      <c r="W79" s="15"/>
      <c r="X79" s="16"/>
      <c r="Y79" s="1"/>
      <c r="Z79" s="2"/>
      <c r="AA79" s="2"/>
      <c r="AB79" s="38"/>
      <c r="AC79" s="38"/>
      <c r="AD79" s="248"/>
      <c r="AE79" s="251"/>
      <c r="AF79" s="248"/>
      <c r="AG79" s="248"/>
      <c r="AH79" s="248"/>
    </row>
    <row r="80" spans="2:34" ht="15.5" x14ac:dyDescent="0.35">
      <c r="B80" s="122"/>
      <c r="R80" s="122"/>
      <c r="S80" s="49"/>
      <c r="T80" s="49"/>
      <c r="U80" s="4"/>
      <c r="V80" s="5"/>
      <c r="W80" s="3"/>
      <c r="X80" s="3"/>
      <c r="Y80" s="2"/>
      <c r="Z80" s="2"/>
      <c r="AA80" s="2"/>
      <c r="AB80" s="2"/>
      <c r="AC80" s="2"/>
      <c r="AD80" s="248"/>
      <c r="AE80" s="249"/>
      <c r="AF80" s="248"/>
      <c r="AG80" s="250"/>
      <c r="AH80" s="248"/>
    </row>
    <row r="81" spans="2:34" ht="15.5" x14ac:dyDescent="0.35">
      <c r="B81" s="122"/>
      <c r="R81" s="122"/>
      <c r="S81" s="49"/>
      <c r="T81" s="49"/>
      <c r="U81" s="13"/>
      <c r="V81" s="14"/>
      <c r="W81" s="15"/>
      <c r="X81" s="16"/>
      <c r="Y81" s="1"/>
      <c r="Z81" s="2"/>
      <c r="AA81" s="2"/>
      <c r="AB81" s="38"/>
      <c r="AC81" s="38"/>
      <c r="AD81" s="248"/>
      <c r="AE81" s="251"/>
      <c r="AF81" s="248"/>
      <c r="AG81" s="248"/>
      <c r="AH81" s="248"/>
    </row>
    <row r="82" spans="2:34" ht="15.5" x14ac:dyDescent="0.35">
      <c r="B82" s="122"/>
      <c r="R82" s="122"/>
      <c r="S82" s="49"/>
      <c r="T82" s="49"/>
      <c r="U82" s="13"/>
      <c r="V82" s="14"/>
      <c r="W82" s="15"/>
      <c r="X82" s="16"/>
      <c r="Y82" s="27"/>
      <c r="Z82" s="27"/>
      <c r="AA82" s="27"/>
      <c r="AB82" s="38"/>
      <c r="AC82" s="38"/>
      <c r="AD82" s="248"/>
      <c r="AE82" s="256"/>
      <c r="AF82" s="248"/>
      <c r="AG82" s="248"/>
      <c r="AH82" s="248"/>
    </row>
    <row r="83" spans="2:34" ht="15.5" x14ac:dyDescent="0.35">
      <c r="B83" s="122"/>
      <c r="R83" s="122"/>
      <c r="S83" s="49"/>
      <c r="T83" s="49"/>
      <c r="U83" s="13"/>
      <c r="V83" s="14"/>
      <c r="W83" s="15"/>
      <c r="X83" s="16"/>
      <c r="Y83" s="27"/>
      <c r="Z83" s="27"/>
      <c r="AA83" s="27"/>
      <c r="AB83" s="38"/>
      <c r="AC83" s="38"/>
      <c r="AD83" s="248"/>
      <c r="AE83" s="256"/>
      <c r="AF83" s="248"/>
      <c r="AG83" s="248"/>
      <c r="AH83" s="248"/>
    </row>
    <row r="84" spans="2:34" ht="15.5" x14ac:dyDescent="0.35">
      <c r="B84" s="122"/>
      <c r="R84" s="122"/>
      <c r="S84" s="49"/>
      <c r="T84" s="49"/>
      <c r="U84" s="13"/>
      <c r="V84" s="14"/>
      <c r="W84" s="15"/>
      <c r="X84" s="16"/>
      <c r="Y84" s="1"/>
      <c r="Z84" s="2"/>
      <c r="AA84" s="2"/>
      <c r="AB84" s="38"/>
      <c r="AC84" s="38"/>
      <c r="AD84" s="248"/>
      <c r="AE84" s="251"/>
      <c r="AF84" s="248"/>
      <c r="AG84" s="248"/>
      <c r="AH84" s="248"/>
    </row>
    <row r="85" spans="2:34" ht="15.5" x14ac:dyDescent="0.35">
      <c r="B85" s="122"/>
      <c r="R85" s="122"/>
      <c r="S85" s="49"/>
      <c r="T85" s="49"/>
      <c r="U85" s="13"/>
      <c r="V85" s="14"/>
      <c r="W85" s="15"/>
      <c r="X85" s="16"/>
      <c r="Y85" s="1"/>
      <c r="Z85" s="2"/>
      <c r="AA85" s="2"/>
      <c r="AB85" s="38"/>
      <c r="AC85" s="38"/>
      <c r="AD85" s="248"/>
      <c r="AE85" s="251"/>
      <c r="AF85" s="248"/>
      <c r="AG85" s="248"/>
      <c r="AH85" s="248"/>
    </row>
    <row r="86" spans="2:34" ht="15.5" x14ac:dyDescent="0.35">
      <c r="B86" s="122"/>
      <c r="R86" s="122"/>
      <c r="S86" s="49"/>
      <c r="T86" s="49"/>
      <c r="U86" s="13"/>
      <c r="V86" s="14"/>
      <c r="W86" s="15"/>
      <c r="X86" s="16"/>
      <c r="Y86" s="1"/>
      <c r="Z86" s="2"/>
      <c r="AA86" s="2"/>
      <c r="AB86" s="38"/>
      <c r="AC86" s="38"/>
      <c r="AD86" s="248"/>
      <c r="AE86" s="251"/>
      <c r="AF86" s="248"/>
      <c r="AG86" s="248"/>
      <c r="AH86" s="248"/>
    </row>
    <row r="87" spans="2:34" ht="15.5" x14ac:dyDescent="0.35">
      <c r="B87" s="122"/>
      <c r="R87" s="122"/>
      <c r="S87" s="49"/>
      <c r="T87" s="49"/>
      <c r="U87" s="13"/>
      <c r="V87" s="14"/>
      <c r="W87" s="15"/>
      <c r="X87" s="16"/>
      <c r="Y87" s="1"/>
      <c r="Z87" s="2"/>
      <c r="AA87" s="2"/>
      <c r="AB87" s="38"/>
      <c r="AC87" s="38"/>
      <c r="AD87" s="248"/>
      <c r="AE87" s="251"/>
      <c r="AF87" s="248"/>
      <c r="AG87" s="248"/>
      <c r="AH87" s="248"/>
    </row>
    <row r="88" spans="2:34" ht="15.5" x14ac:dyDescent="0.35">
      <c r="B88" s="122"/>
      <c r="R88" s="122"/>
      <c r="S88" s="49"/>
      <c r="T88" s="49"/>
      <c r="U88" s="4"/>
      <c r="V88" s="5"/>
      <c r="W88" s="3"/>
      <c r="X88" s="3"/>
      <c r="Y88" s="2"/>
      <c r="Z88" s="2"/>
      <c r="AA88" s="2"/>
      <c r="AB88" s="2"/>
      <c r="AC88" s="2"/>
      <c r="AD88" s="248"/>
      <c r="AE88" s="249"/>
      <c r="AF88" s="248"/>
      <c r="AG88" s="250"/>
      <c r="AH88" s="248"/>
    </row>
    <row r="89" spans="2:34" ht="15.5" x14ac:dyDescent="0.35">
      <c r="B89" s="122"/>
      <c r="R89" s="122"/>
      <c r="S89" s="49"/>
      <c r="T89" s="49"/>
      <c r="U89" s="13"/>
      <c r="V89" s="14"/>
      <c r="W89" s="15"/>
      <c r="X89" s="16"/>
      <c r="Y89" s="1"/>
      <c r="Z89" s="2"/>
      <c r="AA89" s="2"/>
      <c r="AB89" s="38"/>
      <c r="AC89" s="38"/>
      <c r="AD89" s="248"/>
      <c r="AE89" s="251"/>
      <c r="AF89" s="248"/>
      <c r="AG89" s="248"/>
      <c r="AH89" s="248"/>
    </row>
    <row r="90" spans="2:34" ht="15.5" x14ac:dyDescent="0.35">
      <c r="B90" s="122"/>
      <c r="R90" s="122"/>
      <c r="S90" s="49"/>
      <c r="T90" s="49"/>
      <c r="U90" s="13"/>
      <c r="V90" s="14"/>
      <c r="W90" s="15"/>
      <c r="X90" s="16"/>
      <c r="Y90" s="1"/>
      <c r="Z90" s="2"/>
      <c r="AA90" s="2"/>
      <c r="AB90" s="38"/>
      <c r="AC90" s="38"/>
      <c r="AD90" s="248"/>
      <c r="AE90" s="251"/>
      <c r="AF90" s="248"/>
      <c r="AG90" s="248"/>
      <c r="AH90" s="248"/>
    </row>
    <row r="91" spans="2:34" ht="15.5" x14ac:dyDescent="0.35">
      <c r="B91" s="122"/>
      <c r="R91" s="122"/>
      <c r="S91" s="49"/>
      <c r="T91" s="49"/>
      <c r="U91" s="13"/>
      <c r="V91" s="14"/>
      <c r="W91" s="15"/>
      <c r="X91" s="16"/>
      <c r="Y91" s="27"/>
      <c r="Z91" s="27"/>
      <c r="AA91" s="27"/>
      <c r="AB91" s="38"/>
      <c r="AC91" s="38"/>
      <c r="AD91" s="248"/>
      <c r="AE91" s="256"/>
      <c r="AF91" s="248"/>
      <c r="AG91" s="257"/>
      <c r="AH91" s="248"/>
    </row>
    <row r="92" spans="2:34" ht="15.5" x14ac:dyDescent="0.35">
      <c r="B92" s="122"/>
      <c r="R92" s="122"/>
      <c r="S92" s="49"/>
      <c r="T92" s="49"/>
      <c r="U92" s="13"/>
      <c r="V92" s="14"/>
      <c r="W92" s="15"/>
      <c r="X92" s="16"/>
      <c r="Y92" s="27"/>
      <c r="Z92" s="27"/>
      <c r="AA92" s="27"/>
      <c r="AB92" s="38"/>
      <c r="AC92" s="38"/>
      <c r="AD92" s="248"/>
      <c r="AE92" s="256"/>
      <c r="AF92" s="248"/>
      <c r="AG92" s="257"/>
      <c r="AH92" s="248"/>
    </row>
    <row r="93" spans="2:34" ht="15.5" x14ac:dyDescent="0.35">
      <c r="B93" s="122"/>
      <c r="R93" s="122"/>
      <c r="S93" s="49"/>
      <c r="T93" s="49"/>
      <c r="U93" s="13"/>
      <c r="V93" s="14"/>
      <c r="W93" s="15"/>
      <c r="X93" s="16"/>
      <c r="Y93" s="27"/>
      <c r="Z93" s="27"/>
      <c r="AA93" s="27"/>
      <c r="AB93" s="38"/>
      <c r="AC93" s="38"/>
      <c r="AD93" s="248"/>
      <c r="AE93" s="256"/>
      <c r="AF93" s="248"/>
      <c r="AG93" s="257"/>
      <c r="AH93" s="248"/>
    </row>
    <row r="94" spans="2:34" ht="15.5" x14ac:dyDescent="0.35">
      <c r="B94" s="122"/>
      <c r="R94" s="122"/>
      <c r="S94" s="49"/>
      <c r="T94" s="49"/>
      <c r="U94" s="4"/>
      <c r="V94" s="5"/>
      <c r="W94" s="3"/>
      <c r="X94" s="3"/>
      <c r="Y94" s="2"/>
      <c r="Z94" s="2"/>
      <c r="AA94" s="2"/>
      <c r="AB94" s="2"/>
      <c r="AC94" s="2"/>
      <c r="AD94" s="248"/>
      <c r="AE94" s="249"/>
      <c r="AF94" s="248"/>
      <c r="AG94" s="250"/>
      <c r="AH94" s="248"/>
    </row>
    <row r="95" spans="2:34" ht="15.5" x14ac:dyDescent="0.35">
      <c r="B95" s="122"/>
      <c r="R95" s="122"/>
      <c r="S95" s="49"/>
      <c r="T95" s="49"/>
      <c r="U95" s="13"/>
      <c r="V95" s="14"/>
      <c r="W95" s="15"/>
      <c r="X95" s="16"/>
      <c r="Y95" s="1"/>
      <c r="Z95" s="2"/>
      <c r="AA95" s="2"/>
      <c r="AB95" s="38"/>
      <c r="AC95" s="38"/>
      <c r="AD95" s="248"/>
      <c r="AE95" s="251"/>
      <c r="AF95" s="248"/>
      <c r="AG95" s="248"/>
      <c r="AH95" s="248"/>
    </row>
    <row r="96" spans="2:34" ht="15.5" x14ac:dyDescent="0.35">
      <c r="B96" s="122"/>
      <c r="R96" s="122"/>
      <c r="S96" s="49"/>
      <c r="T96" s="49"/>
      <c r="U96" s="13"/>
      <c r="V96" s="14"/>
      <c r="W96" s="15"/>
      <c r="X96" s="16"/>
      <c r="Y96" s="259"/>
      <c r="Z96" s="2"/>
      <c r="AA96" s="2"/>
      <c r="AB96" s="38"/>
      <c r="AC96" s="38"/>
      <c r="AD96" s="248"/>
      <c r="AE96" s="251"/>
      <c r="AF96" s="248"/>
      <c r="AG96" s="248"/>
      <c r="AH96" s="248"/>
    </row>
    <row r="97" spans="2:34" ht="15.5" x14ac:dyDescent="0.35">
      <c r="B97" s="122"/>
      <c r="R97" s="122"/>
      <c r="S97" s="49"/>
      <c r="T97" s="49"/>
      <c r="U97" s="13"/>
      <c r="V97" s="14"/>
      <c r="W97" s="15"/>
      <c r="X97" s="16"/>
      <c r="Y97" s="1"/>
      <c r="Z97" s="2"/>
      <c r="AA97" s="2"/>
      <c r="AB97" s="38"/>
      <c r="AC97" s="38"/>
      <c r="AD97" s="248"/>
      <c r="AE97" s="251"/>
      <c r="AF97" s="248"/>
      <c r="AG97" s="248"/>
      <c r="AH97" s="248"/>
    </row>
    <row r="98" spans="2:34" ht="15.5" x14ac:dyDescent="0.35">
      <c r="B98" s="122"/>
      <c r="R98" s="122"/>
      <c r="S98" s="49"/>
      <c r="T98" s="49"/>
      <c r="U98" s="4"/>
      <c r="V98" s="5"/>
      <c r="W98" s="3"/>
      <c r="X98" s="3"/>
      <c r="Y98" s="2"/>
      <c r="Z98" s="2"/>
      <c r="AA98" s="2"/>
      <c r="AB98" s="2"/>
      <c r="AC98" s="2"/>
      <c r="AD98" s="248"/>
      <c r="AE98" s="249"/>
      <c r="AF98" s="248"/>
      <c r="AG98" s="250"/>
      <c r="AH98" s="248"/>
    </row>
    <row r="99" spans="2:34" ht="15.5" x14ac:dyDescent="0.35">
      <c r="B99" s="122"/>
      <c r="R99" s="122"/>
      <c r="S99" s="49"/>
      <c r="T99" s="49"/>
      <c r="U99" s="4"/>
      <c r="V99" s="5"/>
      <c r="W99" s="3"/>
      <c r="X99" s="3"/>
      <c r="Y99" s="2"/>
      <c r="Z99" s="2"/>
      <c r="AA99" s="2"/>
      <c r="AB99" s="2"/>
      <c r="AC99" s="2"/>
      <c r="AD99" s="248"/>
      <c r="AE99" s="249"/>
      <c r="AF99" s="248"/>
      <c r="AG99" s="250"/>
      <c r="AH99" s="248"/>
    </row>
    <row r="100" spans="2:34" ht="15.5" x14ac:dyDescent="0.35">
      <c r="B100" s="122"/>
      <c r="R100" s="122"/>
      <c r="S100" s="49"/>
      <c r="T100" s="49"/>
      <c r="U100" s="13"/>
      <c r="V100" s="14"/>
      <c r="W100" s="15"/>
      <c r="X100" s="16"/>
      <c r="Y100" s="1"/>
      <c r="Z100" s="2"/>
      <c r="AA100" s="2"/>
      <c r="AB100" s="38"/>
      <c r="AC100" s="38"/>
      <c r="AD100" s="248"/>
      <c r="AE100" s="251"/>
      <c r="AF100" s="248"/>
      <c r="AG100" s="248"/>
      <c r="AH100" s="248"/>
    </row>
    <row r="101" spans="2:34" ht="15.5" x14ac:dyDescent="0.35">
      <c r="B101" s="122"/>
      <c r="R101" s="122"/>
      <c r="S101" s="49"/>
      <c r="T101" s="49"/>
      <c r="U101" s="4"/>
      <c r="V101" s="5"/>
      <c r="W101" s="3"/>
      <c r="X101" s="3"/>
      <c r="Y101" s="2"/>
      <c r="Z101" s="2"/>
      <c r="AA101" s="2"/>
      <c r="AB101" s="2"/>
      <c r="AC101" s="2"/>
      <c r="AD101" s="248"/>
      <c r="AE101" s="249"/>
      <c r="AF101" s="248"/>
      <c r="AG101" s="250"/>
      <c r="AH101" s="248"/>
    </row>
    <row r="102" spans="2:34" ht="15.5" x14ac:dyDescent="0.35">
      <c r="B102" s="122"/>
      <c r="R102" s="122"/>
      <c r="S102" s="49"/>
      <c r="T102" s="49"/>
      <c r="U102" s="4"/>
      <c r="V102" s="37"/>
      <c r="W102" s="3"/>
      <c r="X102" s="3"/>
      <c r="Y102" s="2"/>
      <c r="Z102" s="2"/>
      <c r="AA102" s="2"/>
      <c r="AB102" s="2"/>
      <c r="AC102" s="2"/>
      <c r="AD102" s="248"/>
      <c r="AE102" s="258"/>
      <c r="AF102" s="248"/>
      <c r="AG102" s="248"/>
      <c r="AH102" s="248"/>
    </row>
    <row r="103" spans="2:34" ht="15.5" x14ac:dyDescent="0.35">
      <c r="B103" s="122"/>
      <c r="R103" s="122"/>
      <c r="S103" s="49"/>
      <c r="T103" s="49"/>
      <c r="U103" s="4"/>
      <c r="V103" s="37"/>
      <c r="W103" s="3"/>
      <c r="X103" s="3"/>
      <c r="Y103" s="2"/>
      <c r="Z103" s="2"/>
      <c r="AA103" s="2"/>
      <c r="AB103" s="2"/>
      <c r="AC103" s="2"/>
      <c r="AD103" s="248"/>
      <c r="AE103" s="258"/>
      <c r="AF103" s="248"/>
      <c r="AG103" s="248"/>
      <c r="AH103" s="248"/>
    </row>
    <row r="104" spans="2:34" ht="15.5" x14ac:dyDescent="0.35">
      <c r="B104" s="122"/>
      <c r="R104" s="122"/>
      <c r="S104" s="49"/>
      <c r="T104" s="49"/>
      <c r="U104" s="13"/>
      <c r="V104" s="14"/>
      <c r="W104" s="15"/>
      <c r="X104" s="16"/>
      <c r="Y104" s="1"/>
      <c r="Z104" s="2"/>
      <c r="AA104" s="2"/>
      <c r="AB104" s="38"/>
      <c r="AC104" s="38"/>
      <c r="AD104" s="248"/>
      <c r="AE104" s="251"/>
      <c r="AF104" s="248"/>
      <c r="AG104" s="248"/>
      <c r="AH104" s="248"/>
    </row>
    <row r="105" spans="2:34" ht="15.5" x14ac:dyDescent="0.35">
      <c r="B105" s="122"/>
      <c r="R105" s="122"/>
      <c r="S105" s="49"/>
      <c r="T105" s="49"/>
      <c r="U105" s="4"/>
      <c r="V105" s="5"/>
      <c r="W105" s="3"/>
      <c r="X105" s="3"/>
      <c r="Y105" s="2"/>
      <c r="Z105" s="2"/>
      <c r="AA105" s="2"/>
      <c r="AB105" s="2"/>
      <c r="AC105" s="2"/>
      <c r="AD105" s="248"/>
      <c r="AE105" s="249"/>
      <c r="AF105" s="248"/>
      <c r="AG105" s="250"/>
      <c r="AH105" s="248"/>
    </row>
    <row r="106" spans="2:34" ht="15.5" x14ac:dyDescent="0.35">
      <c r="B106" s="122"/>
      <c r="R106" s="122"/>
      <c r="S106" s="49"/>
      <c r="T106" s="50"/>
      <c r="U106" s="21"/>
      <c r="V106" s="22"/>
      <c r="W106" s="26"/>
      <c r="X106" s="17"/>
      <c r="Y106" s="23"/>
      <c r="Z106" s="23"/>
      <c r="AA106" s="23"/>
      <c r="AB106" s="2"/>
      <c r="AC106" s="2"/>
      <c r="AD106" s="248"/>
      <c r="AE106" s="251"/>
      <c r="AF106" s="248"/>
      <c r="AG106" s="248"/>
      <c r="AH106" s="248"/>
    </row>
    <row r="107" spans="2:34" ht="15.5" x14ac:dyDescent="0.35">
      <c r="B107" s="122"/>
      <c r="R107" s="122"/>
      <c r="S107" s="49"/>
      <c r="T107" s="49"/>
      <c r="U107" s="4"/>
      <c r="V107" s="5"/>
      <c r="W107" s="3"/>
      <c r="X107" s="3"/>
      <c r="Y107" s="2"/>
      <c r="Z107" s="2"/>
      <c r="AA107" s="2"/>
      <c r="AB107" s="2"/>
      <c r="AC107" s="2"/>
      <c r="AD107" s="248"/>
      <c r="AE107" s="249"/>
      <c r="AF107" s="248"/>
      <c r="AG107" s="250"/>
      <c r="AH107" s="248"/>
    </row>
    <row r="108" spans="2:34" ht="15.5" x14ac:dyDescent="0.35">
      <c r="B108" s="122"/>
      <c r="R108" s="122"/>
      <c r="S108" s="49"/>
      <c r="T108" s="49"/>
      <c r="U108" s="4"/>
      <c r="V108" s="5"/>
      <c r="W108" s="3"/>
      <c r="X108" s="3"/>
      <c r="Y108" s="2"/>
      <c r="Z108" s="2"/>
      <c r="AA108" s="2"/>
      <c r="AB108" s="2"/>
      <c r="AC108" s="2"/>
      <c r="AD108" s="248"/>
      <c r="AE108" s="249"/>
      <c r="AF108" s="248"/>
      <c r="AG108" s="250"/>
      <c r="AH108" s="248"/>
    </row>
    <row r="109" spans="2:34" ht="15.5" x14ac:dyDescent="0.35">
      <c r="B109" s="122"/>
      <c r="R109" s="122"/>
      <c r="S109" s="49"/>
      <c r="T109" s="49"/>
      <c r="U109" s="4"/>
      <c r="V109" s="5"/>
      <c r="W109" s="3"/>
      <c r="X109" s="3"/>
      <c r="Y109" s="2"/>
      <c r="Z109" s="2"/>
      <c r="AA109" s="2"/>
      <c r="AB109" s="2"/>
      <c r="AC109" s="2"/>
      <c r="AD109" s="248"/>
      <c r="AE109" s="249"/>
      <c r="AF109" s="248"/>
      <c r="AG109" s="250"/>
      <c r="AH109" s="248"/>
    </row>
    <row r="110" spans="2:34" ht="15.5" x14ac:dyDescent="0.35">
      <c r="B110" s="122"/>
      <c r="R110" s="122"/>
      <c r="S110" s="49"/>
      <c r="T110" s="49"/>
      <c r="U110" s="13"/>
      <c r="V110" s="14"/>
      <c r="W110" s="15"/>
      <c r="X110" s="16"/>
      <c r="Y110" s="1"/>
      <c r="Z110" s="2"/>
      <c r="AA110" s="2"/>
      <c r="AB110" s="38"/>
      <c r="AC110" s="38"/>
      <c r="AD110" s="248"/>
      <c r="AE110" s="251"/>
      <c r="AF110" s="248"/>
      <c r="AG110" s="248"/>
      <c r="AH110" s="248"/>
    </row>
    <row r="111" spans="2:34" ht="15.5" x14ac:dyDescent="0.35">
      <c r="B111" s="122"/>
      <c r="R111" s="122"/>
      <c r="S111" s="49"/>
      <c r="T111" s="50"/>
      <c r="U111" s="21"/>
      <c r="V111" s="22"/>
      <c r="W111" s="26"/>
      <c r="X111" s="17"/>
      <c r="Y111" s="23"/>
      <c r="Z111" s="23"/>
      <c r="AA111" s="23"/>
      <c r="AB111" s="2"/>
      <c r="AC111" s="2"/>
      <c r="AD111" s="248"/>
      <c r="AE111" s="251"/>
      <c r="AF111" s="248"/>
      <c r="AG111" s="248"/>
      <c r="AH111" s="248"/>
    </row>
    <row r="112" spans="2:34" ht="15.5" x14ac:dyDescent="0.35">
      <c r="B112" s="122"/>
      <c r="R112" s="124"/>
      <c r="S112" s="56"/>
      <c r="T112" s="49"/>
      <c r="U112" s="4"/>
      <c r="V112" s="5"/>
      <c r="W112" s="3"/>
      <c r="X112" s="3"/>
      <c r="Y112" s="2"/>
      <c r="Z112" s="2"/>
      <c r="AA112" s="2"/>
      <c r="AB112" s="2"/>
      <c r="AC112" s="2"/>
      <c r="AD112" s="248"/>
      <c r="AE112" s="249"/>
      <c r="AF112" s="248"/>
      <c r="AG112" s="248"/>
      <c r="AH112" s="248"/>
    </row>
    <row r="113" spans="2:34" ht="15.5" x14ac:dyDescent="0.35">
      <c r="B113" s="122"/>
      <c r="R113" s="122"/>
      <c r="S113" s="49"/>
      <c r="T113" s="49"/>
      <c r="U113" s="4"/>
      <c r="V113" s="5"/>
      <c r="W113" s="3"/>
      <c r="X113" s="3"/>
      <c r="Y113" s="2"/>
      <c r="Z113" s="2"/>
      <c r="AA113" s="2"/>
      <c r="AB113" s="2"/>
      <c r="AC113" s="38"/>
      <c r="AD113" s="248"/>
      <c r="AE113" s="249"/>
      <c r="AF113" s="248"/>
      <c r="AG113" s="250"/>
      <c r="AH113" s="248"/>
    </row>
    <row r="114" spans="2:34" ht="15.5" x14ac:dyDescent="0.35">
      <c r="B114" s="122"/>
      <c r="R114" s="122"/>
      <c r="S114" s="56"/>
      <c r="T114" s="49"/>
      <c r="U114" s="13"/>
      <c r="V114" s="14"/>
      <c r="W114" s="15"/>
      <c r="X114" s="16"/>
      <c r="Y114" s="1"/>
      <c r="Z114" s="2"/>
      <c r="AA114" s="2"/>
      <c r="AB114" s="38"/>
      <c r="AC114" s="38"/>
      <c r="AD114" s="248"/>
      <c r="AE114" s="251"/>
      <c r="AF114" s="248"/>
      <c r="AG114" s="248"/>
      <c r="AH114" s="248"/>
    </row>
    <row r="115" spans="2:34" ht="15.5" x14ac:dyDescent="0.35">
      <c r="B115" s="122"/>
      <c r="R115" s="122"/>
      <c r="S115" s="56"/>
      <c r="T115" s="49"/>
      <c r="U115" s="13"/>
      <c r="V115" s="14"/>
      <c r="W115" s="15"/>
      <c r="X115" s="16"/>
      <c r="Y115" s="1"/>
      <c r="Z115" s="2"/>
      <c r="AA115" s="2"/>
      <c r="AB115" s="38"/>
      <c r="AC115" s="38"/>
      <c r="AD115" s="248"/>
      <c r="AE115" s="251"/>
      <c r="AF115" s="248"/>
      <c r="AG115" s="248"/>
      <c r="AH115" s="248"/>
    </row>
    <row r="116" spans="2:34" ht="15.5" x14ac:dyDescent="0.35">
      <c r="B116" s="122"/>
      <c r="R116" s="122"/>
      <c r="S116" s="56"/>
      <c r="T116" s="49"/>
      <c r="U116" s="13"/>
      <c r="V116" s="14"/>
      <c r="W116" s="15"/>
      <c r="X116" s="16"/>
      <c r="Y116" s="1"/>
      <c r="Z116" s="2"/>
      <c r="AA116" s="2"/>
      <c r="AB116" s="38"/>
      <c r="AC116" s="38"/>
      <c r="AD116" s="248"/>
      <c r="AE116" s="251"/>
      <c r="AF116" s="248"/>
      <c r="AG116" s="248"/>
      <c r="AH116" s="248"/>
    </row>
    <row r="117" spans="2:34" ht="15.5" x14ac:dyDescent="0.35">
      <c r="B117" s="122"/>
      <c r="R117" s="122"/>
      <c r="S117" s="49"/>
      <c r="T117" s="49"/>
      <c r="U117" s="13"/>
      <c r="V117" s="14"/>
      <c r="W117" s="15"/>
      <c r="X117" s="16"/>
      <c r="Y117" s="1"/>
      <c r="Z117" s="2"/>
      <c r="AA117" s="2"/>
      <c r="AB117" s="38"/>
      <c r="AC117" s="38"/>
      <c r="AD117" s="248"/>
      <c r="AE117" s="251"/>
      <c r="AF117" s="248"/>
      <c r="AG117" s="248"/>
      <c r="AH117" s="248"/>
    </row>
    <row r="118" spans="2:34" ht="15.5" x14ac:dyDescent="0.35">
      <c r="B118" s="122"/>
      <c r="R118" s="122"/>
      <c r="S118" s="49"/>
      <c r="T118" s="49"/>
      <c r="U118" s="13"/>
      <c r="V118" s="14"/>
      <c r="W118" s="15"/>
      <c r="X118" s="16"/>
      <c r="Y118" s="1"/>
      <c r="Z118" s="2"/>
      <c r="AA118" s="2"/>
      <c r="AB118" s="38"/>
      <c r="AC118" s="38"/>
      <c r="AD118" s="248"/>
      <c r="AE118" s="251"/>
      <c r="AF118" s="248"/>
      <c r="AG118" s="248"/>
      <c r="AH118" s="248"/>
    </row>
    <row r="119" spans="2:34" ht="15.5" x14ac:dyDescent="0.35">
      <c r="B119" s="122"/>
      <c r="R119" s="122"/>
      <c r="S119" s="49"/>
      <c r="T119" s="49"/>
      <c r="U119" s="4"/>
      <c r="V119" s="5"/>
      <c r="W119" s="3"/>
      <c r="X119" s="3"/>
      <c r="Y119" s="2"/>
      <c r="Z119" s="2"/>
      <c r="AA119" s="2"/>
      <c r="AB119" s="2"/>
      <c r="AC119" s="38"/>
      <c r="AD119" s="248"/>
      <c r="AE119" s="249"/>
      <c r="AF119" s="248"/>
      <c r="AG119" s="250"/>
      <c r="AH119" s="248"/>
    </row>
    <row r="120" spans="2:34" ht="15.5" x14ac:dyDescent="0.35">
      <c r="B120" s="122"/>
      <c r="R120" s="122"/>
      <c r="S120" s="49"/>
      <c r="T120" s="49"/>
      <c r="U120" s="4"/>
      <c r="V120" s="5"/>
      <c r="W120" s="3"/>
      <c r="X120" s="3"/>
      <c r="Y120" s="2"/>
      <c r="Z120" s="2"/>
      <c r="AA120" s="2"/>
      <c r="AB120" s="2"/>
      <c r="AC120" s="38"/>
      <c r="AD120" s="248"/>
      <c r="AE120" s="249"/>
      <c r="AF120" s="248"/>
      <c r="AG120" s="250"/>
      <c r="AH120" s="248"/>
    </row>
    <row r="121" spans="2:34" ht="15.5" x14ac:dyDescent="0.35">
      <c r="B121" s="122"/>
      <c r="R121" s="122"/>
      <c r="S121" s="49"/>
      <c r="T121" s="49"/>
      <c r="U121" s="4"/>
      <c r="V121" s="5"/>
      <c r="W121" s="3"/>
      <c r="X121" s="3"/>
      <c r="Y121" s="2"/>
      <c r="Z121" s="2"/>
      <c r="AA121" s="2"/>
      <c r="AB121" s="2"/>
      <c r="AC121" s="38"/>
      <c r="AD121" s="248"/>
      <c r="AE121" s="249"/>
      <c r="AF121" s="248"/>
      <c r="AG121" s="250"/>
      <c r="AH121" s="248"/>
    </row>
    <row r="122" spans="2:34" ht="15.5" x14ac:dyDescent="0.35">
      <c r="B122" s="122"/>
      <c r="R122" s="122"/>
      <c r="S122" s="49"/>
      <c r="T122" s="49"/>
      <c r="U122" s="4"/>
      <c r="V122" s="5"/>
      <c r="W122" s="3"/>
      <c r="X122" s="3"/>
      <c r="Y122" s="2"/>
      <c r="Z122" s="2"/>
      <c r="AA122" s="2"/>
      <c r="AB122" s="2"/>
      <c r="AC122" s="38"/>
      <c r="AD122" s="248"/>
      <c r="AE122" s="249"/>
      <c r="AF122" s="248"/>
      <c r="AG122" s="250"/>
      <c r="AH122" s="248"/>
    </row>
    <row r="123" spans="2:34" ht="15.5" x14ac:dyDescent="0.35">
      <c r="B123" s="122"/>
      <c r="R123" s="122"/>
      <c r="S123" s="56"/>
      <c r="T123" s="49"/>
      <c r="U123" s="13"/>
      <c r="V123" s="14"/>
      <c r="W123" s="15"/>
      <c r="X123" s="16"/>
      <c r="Y123" s="1"/>
      <c r="Z123" s="2"/>
      <c r="AA123" s="2"/>
      <c r="AB123" s="38"/>
      <c r="AC123" s="38"/>
      <c r="AD123" s="248"/>
      <c r="AE123" s="251"/>
      <c r="AF123" s="248"/>
      <c r="AG123" s="248"/>
      <c r="AH123" s="248"/>
    </row>
    <row r="124" spans="2:34" ht="15.5" x14ac:dyDescent="0.35">
      <c r="B124" s="122"/>
      <c r="R124" s="122"/>
      <c r="S124" s="49"/>
      <c r="T124" s="49"/>
      <c r="U124" s="4"/>
      <c r="V124" s="5"/>
      <c r="W124" s="3"/>
      <c r="X124" s="3"/>
      <c r="Y124" s="2"/>
      <c r="Z124" s="2"/>
      <c r="AA124" s="2"/>
      <c r="AB124" s="2"/>
      <c r="AC124" s="38"/>
      <c r="AD124" s="248"/>
      <c r="AE124" s="249"/>
      <c r="AF124" s="248"/>
      <c r="AG124" s="250"/>
      <c r="AH124" s="248"/>
    </row>
    <row r="125" spans="2:34" ht="15.5" x14ac:dyDescent="0.35">
      <c r="B125" s="122"/>
      <c r="R125" s="122"/>
      <c r="S125" s="49"/>
      <c r="T125" s="49"/>
      <c r="U125" s="4"/>
      <c r="V125" s="5"/>
      <c r="W125" s="3"/>
      <c r="X125" s="3"/>
      <c r="Y125" s="2"/>
      <c r="Z125" s="2"/>
      <c r="AA125" s="2"/>
      <c r="AB125" s="2"/>
      <c r="AC125" s="38"/>
      <c r="AD125" s="248"/>
      <c r="AE125" s="249"/>
      <c r="AF125" s="248"/>
      <c r="AG125" s="250"/>
      <c r="AH125" s="248"/>
    </row>
    <row r="126" spans="2:34" ht="15.5" x14ac:dyDescent="0.35">
      <c r="B126" s="122"/>
      <c r="R126" s="122"/>
      <c r="S126" s="49"/>
      <c r="T126" s="49"/>
      <c r="U126" s="4"/>
      <c r="V126" s="5"/>
      <c r="W126" s="3"/>
      <c r="X126" s="3"/>
      <c r="Y126" s="2"/>
      <c r="Z126" s="2"/>
      <c r="AA126" s="2"/>
      <c r="AB126" s="2"/>
      <c r="AC126" s="38"/>
      <c r="AD126" s="248"/>
      <c r="AE126" s="249"/>
      <c r="AF126" s="248"/>
      <c r="AG126" s="250"/>
      <c r="AH126" s="248"/>
    </row>
    <row r="127" spans="2:34" ht="15.5" x14ac:dyDescent="0.35">
      <c r="B127" s="122"/>
      <c r="R127" s="122"/>
      <c r="S127" s="49"/>
      <c r="T127" s="49"/>
      <c r="U127" s="4"/>
      <c r="V127" s="5"/>
      <c r="W127" s="3"/>
      <c r="X127" s="3"/>
      <c r="Y127" s="2"/>
      <c r="Z127" s="2"/>
      <c r="AA127" s="2"/>
      <c r="AB127" s="2"/>
      <c r="AC127" s="2"/>
      <c r="AD127" s="248"/>
      <c r="AE127" s="249"/>
      <c r="AF127" s="248"/>
      <c r="AG127" s="250"/>
      <c r="AH127" s="248"/>
    </row>
    <row r="128" spans="2:34" ht="15.5" x14ac:dyDescent="0.35">
      <c r="B128" s="122"/>
      <c r="R128" s="122"/>
      <c r="S128" s="49"/>
      <c r="T128" s="49"/>
      <c r="U128" s="4"/>
      <c r="V128" s="5"/>
      <c r="W128" s="3"/>
      <c r="X128" s="3"/>
      <c r="Y128" s="2"/>
      <c r="Z128" s="2"/>
      <c r="AA128" s="2"/>
      <c r="AB128" s="2"/>
      <c r="AC128" s="2"/>
      <c r="AD128" s="248"/>
      <c r="AE128" s="249"/>
      <c r="AF128" s="248"/>
      <c r="AG128" s="250"/>
      <c r="AH128" s="248"/>
    </row>
    <row r="129" spans="2:34" ht="15.5" x14ac:dyDescent="0.35">
      <c r="B129" s="122"/>
      <c r="R129" s="122"/>
      <c r="S129" s="49"/>
      <c r="T129" s="49"/>
      <c r="U129" s="4"/>
      <c r="V129" s="5"/>
      <c r="W129" s="3"/>
      <c r="X129" s="3"/>
      <c r="Y129" s="2"/>
      <c r="Z129" s="2"/>
      <c r="AA129" s="2"/>
      <c r="AB129" s="2"/>
      <c r="AC129" s="2"/>
      <c r="AD129" s="248"/>
      <c r="AE129" s="249"/>
      <c r="AF129" s="248"/>
      <c r="AG129" s="250"/>
      <c r="AH129" s="248"/>
    </row>
    <row r="130" spans="2:34" ht="15.5" x14ac:dyDescent="0.35">
      <c r="B130" s="122"/>
      <c r="R130" s="122"/>
      <c r="S130" s="49"/>
      <c r="T130" s="49"/>
      <c r="U130" s="4"/>
      <c r="V130" s="5"/>
      <c r="W130" s="3"/>
      <c r="X130" s="3"/>
      <c r="Y130" s="2"/>
      <c r="Z130" s="2"/>
      <c r="AA130" s="2"/>
      <c r="AB130" s="2"/>
      <c r="AC130" s="2"/>
      <c r="AD130" s="248"/>
      <c r="AE130" s="249"/>
      <c r="AF130" s="248"/>
      <c r="AG130" s="250"/>
      <c r="AH130" s="248"/>
    </row>
    <row r="131" spans="2:34" ht="15.5" x14ac:dyDescent="0.35">
      <c r="B131" s="122"/>
      <c r="R131" s="122"/>
      <c r="S131" s="49"/>
      <c r="T131" s="49"/>
      <c r="U131" s="4"/>
      <c r="V131" s="5"/>
      <c r="W131" s="3"/>
      <c r="X131" s="3"/>
      <c r="Y131" s="2"/>
      <c r="Z131" s="2"/>
      <c r="AA131" s="2"/>
      <c r="AB131" s="2"/>
      <c r="AC131" s="2"/>
      <c r="AD131" s="248"/>
      <c r="AE131" s="249"/>
      <c r="AF131" s="248"/>
      <c r="AG131" s="250"/>
      <c r="AH131" s="248"/>
    </row>
    <row r="132" spans="2:34" ht="15.5" x14ac:dyDescent="0.35">
      <c r="B132" s="122"/>
      <c r="R132" s="122"/>
      <c r="S132" s="49"/>
      <c r="T132" s="49"/>
      <c r="U132" s="4"/>
      <c r="V132" s="5"/>
      <c r="W132" s="3"/>
      <c r="X132" s="3"/>
      <c r="Y132" s="2"/>
      <c r="Z132" s="2"/>
      <c r="AA132" s="2"/>
      <c r="AB132" s="2"/>
      <c r="AC132" s="2"/>
      <c r="AD132" s="248"/>
      <c r="AE132" s="249"/>
      <c r="AF132" s="248"/>
      <c r="AG132" s="250"/>
      <c r="AH132" s="248"/>
    </row>
    <row r="133" spans="2:34" ht="15.5" x14ac:dyDescent="0.35">
      <c r="B133" s="122"/>
      <c r="R133" s="122"/>
      <c r="S133" s="49"/>
      <c r="T133" s="49"/>
      <c r="U133" s="4"/>
      <c r="V133" s="5"/>
      <c r="W133" s="3"/>
      <c r="X133" s="3"/>
      <c r="Y133" s="2"/>
      <c r="Z133" s="2"/>
      <c r="AA133" s="2"/>
      <c r="AB133" s="2"/>
      <c r="AC133" s="2"/>
      <c r="AD133" s="248"/>
      <c r="AE133" s="249"/>
      <c r="AF133" s="248"/>
      <c r="AG133" s="250"/>
      <c r="AH133" s="248"/>
    </row>
    <row r="134" spans="2:34" ht="15.5" x14ac:dyDescent="0.35">
      <c r="B134" s="122"/>
      <c r="R134" s="122"/>
      <c r="S134" s="56"/>
      <c r="T134" s="49"/>
      <c r="U134" s="13"/>
      <c r="V134" s="14"/>
      <c r="W134" s="15"/>
      <c r="X134" s="16"/>
      <c r="Y134" s="1"/>
      <c r="Z134" s="2"/>
      <c r="AA134" s="2"/>
      <c r="AB134" s="38"/>
      <c r="AC134" s="2"/>
      <c r="AD134" s="248"/>
      <c r="AE134" s="251"/>
      <c r="AF134" s="248"/>
      <c r="AG134" s="248"/>
      <c r="AH134" s="248"/>
    </row>
    <row r="135" spans="2:34" ht="15.5" x14ac:dyDescent="0.35">
      <c r="B135" s="122"/>
      <c r="R135" s="122"/>
      <c r="S135" s="49"/>
      <c r="T135" s="49"/>
      <c r="U135" s="4"/>
      <c r="V135" s="5"/>
      <c r="W135" s="3"/>
      <c r="X135" s="3"/>
      <c r="Y135" s="2"/>
      <c r="Z135" s="2"/>
      <c r="AA135" s="2"/>
      <c r="AB135" s="2"/>
      <c r="AC135" s="2"/>
      <c r="AD135" s="248"/>
      <c r="AE135" s="249"/>
      <c r="AF135" s="248"/>
      <c r="AG135" s="250"/>
      <c r="AH135" s="248"/>
    </row>
    <row r="136" spans="2:34" ht="15.5" x14ac:dyDescent="0.35">
      <c r="B136" s="122"/>
      <c r="R136" s="122"/>
      <c r="S136" s="49"/>
      <c r="T136" s="49"/>
      <c r="U136" s="4"/>
      <c r="V136" s="5"/>
      <c r="W136" s="3"/>
      <c r="X136" s="3"/>
      <c r="Y136" s="2"/>
      <c r="Z136" s="2"/>
      <c r="AA136" s="2"/>
      <c r="AB136" s="2"/>
      <c r="AC136" s="2"/>
      <c r="AD136" s="248"/>
      <c r="AE136" s="249"/>
      <c r="AF136" s="248"/>
      <c r="AG136" s="250"/>
      <c r="AH136" s="248"/>
    </row>
    <row r="137" spans="2:34" ht="15.5" x14ac:dyDescent="0.35">
      <c r="B137" s="122"/>
      <c r="R137" s="122"/>
      <c r="S137" s="49"/>
      <c r="T137" s="49"/>
      <c r="U137" s="4"/>
      <c r="V137" s="5"/>
      <c r="W137" s="3"/>
      <c r="X137" s="3"/>
      <c r="Y137" s="2"/>
      <c r="Z137" s="2"/>
      <c r="AA137" s="2"/>
      <c r="AB137" s="2"/>
      <c r="AC137" s="2"/>
      <c r="AD137" s="248"/>
      <c r="AE137" s="249"/>
      <c r="AF137" s="248"/>
      <c r="AG137" s="250"/>
      <c r="AH137" s="248"/>
    </row>
    <row r="138" spans="2:34" ht="15.5" x14ac:dyDescent="0.35">
      <c r="B138" s="122"/>
      <c r="R138" s="122"/>
      <c r="S138" s="49"/>
      <c r="T138" s="49"/>
      <c r="U138" s="4"/>
      <c r="V138" s="5"/>
      <c r="W138" s="3"/>
      <c r="X138" s="3"/>
      <c r="Y138" s="2"/>
      <c r="Z138" s="2"/>
      <c r="AA138" s="2"/>
      <c r="AB138" s="2"/>
      <c r="AC138" s="2"/>
      <c r="AD138" s="248"/>
      <c r="AE138" s="249"/>
      <c r="AF138" s="248"/>
      <c r="AG138" s="250"/>
      <c r="AH138" s="248"/>
    </row>
    <row r="139" spans="2:34" ht="15.5" x14ac:dyDescent="0.35">
      <c r="B139" s="122"/>
      <c r="R139" s="122"/>
      <c r="S139" s="49"/>
      <c r="T139" s="49"/>
      <c r="U139" s="4"/>
      <c r="V139" s="5"/>
      <c r="W139" s="3"/>
      <c r="X139" s="3"/>
      <c r="Y139" s="2"/>
      <c r="Z139" s="2"/>
      <c r="AA139" s="2"/>
      <c r="AB139" s="2"/>
      <c r="AC139" s="2"/>
      <c r="AD139" s="248"/>
      <c r="AE139" s="249"/>
      <c r="AF139" s="248"/>
      <c r="AG139" s="250"/>
      <c r="AH139" s="248"/>
    </row>
    <row r="140" spans="2:34" ht="15.5" x14ac:dyDescent="0.35">
      <c r="B140" s="122"/>
      <c r="R140" s="122"/>
      <c r="S140" s="49"/>
      <c r="T140" s="49"/>
      <c r="U140" s="4"/>
      <c r="V140" s="5"/>
      <c r="W140" s="3"/>
      <c r="X140" s="3"/>
      <c r="Y140" s="2"/>
      <c r="Z140" s="2"/>
      <c r="AA140" s="2"/>
      <c r="AB140" s="2"/>
      <c r="AC140" s="2"/>
      <c r="AD140" s="248"/>
      <c r="AE140" s="249"/>
      <c r="AF140" s="248"/>
      <c r="AG140" s="248"/>
      <c r="AH140" s="248"/>
    </row>
    <row r="141" spans="2:34" ht="15.5" x14ac:dyDescent="0.35">
      <c r="B141" s="122"/>
      <c r="R141" s="122"/>
      <c r="S141" s="49"/>
      <c r="T141" s="49"/>
      <c r="U141" s="4"/>
      <c r="V141" s="5"/>
      <c r="W141" s="3"/>
      <c r="X141" s="3"/>
      <c r="Y141" s="2"/>
      <c r="Z141" s="2"/>
      <c r="AA141" s="2"/>
      <c r="AB141" s="2"/>
      <c r="AC141" s="2"/>
      <c r="AD141" s="248"/>
      <c r="AE141" s="249"/>
      <c r="AF141" s="248"/>
      <c r="AG141" s="250"/>
      <c r="AH141" s="248"/>
    </row>
    <row r="142" spans="2:34" ht="15.5" x14ac:dyDescent="0.35">
      <c r="B142" s="122"/>
      <c r="R142" s="122"/>
      <c r="S142" s="49"/>
      <c r="T142" s="49"/>
      <c r="U142" s="4"/>
      <c r="V142" s="5"/>
      <c r="W142" s="3"/>
      <c r="X142" s="3"/>
      <c r="Y142" s="2"/>
      <c r="Z142" s="2"/>
      <c r="AA142" s="2"/>
      <c r="AB142" s="2"/>
      <c r="AC142" s="2"/>
      <c r="AD142" s="248"/>
      <c r="AE142" s="249"/>
      <c r="AF142" s="248"/>
      <c r="AG142" s="250"/>
      <c r="AH142" s="248"/>
    </row>
    <row r="143" spans="2:34" ht="15.5" x14ac:dyDescent="0.35">
      <c r="B143" s="122"/>
      <c r="R143" s="122"/>
      <c r="S143" s="49"/>
      <c r="T143" s="49"/>
      <c r="U143" s="4"/>
      <c r="V143" s="5"/>
      <c r="W143" s="3"/>
      <c r="X143" s="3"/>
      <c r="Y143" s="2"/>
      <c r="Z143" s="2"/>
      <c r="AA143" s="2"/>
      <c r="AB143" s="2"/>
      <c r="AC143" s="2"/>
      <c r="AD143" s="248"/>
      <c r="AE143" s="249"/>
      <c r="AF143" s="248"/>
      <c r="AG143" s="250"/>
      <c r="AH143" s="248"/>
    </row>
    <row r="144" spans="2:34" ht="15.5" x14ac:dyDescent="0.35">
      <c r="B144" s="122"/>
      <c r="R144" s="122"/>
      <c r="S144" s="49"/>
      <c r="T144" s="49"/>
      <c r="U144" s="4"/>
      <c r="V144" s="5"/>
      <c r="W144" s="3"/>
      <c r="X144" s="3"/>
      <c r="Y144" s="2"/>
      <c r="Z144" s="2"/>
      <c r="AA144" s="2"/>
      <c r="AB144" s="2"/>
      <c r="AC144" s="2"/>
      <c r="AD144" s="248"/>
      <c r="AE144" s="249"/>
      <c r="AF144" s="248"/>
      <c r="AG144" s="250"/>
      <c r="AH144" s="248"/>
    </row>
    <row r="145" spans="2:34" ht="15.5" x14ac:dyDescent="0.35">
      <c r="B145" s="122"/>
      <c r="R145" s="122"/>
      <c r="S145" s="49"/>
      <c r="T145" s="49"/>
      <c r="U145" s="4"/>
      <c r="V145" s="5"/>
      <c r="W145" s="3"/>
      <c r="X145" s="3"/>
      <c r="Y145" s="2"/>
      <c r="Z145" s="2"/>
      <c r="AA145" s="2"/>
      <c r="AB145" s="2"/>
      <c r="AC145" s="2"/>
      <c r="AD145" s="248"/>
      <c r="AE145" s="249"/>
      <c r="AF145" s="248"/>
      <c r="AG145" s="250"/>
      <c r="AH145" s="248"/>
    </row>
    <row r="146" spans="2:34" ht="15.5" x14ac:dyDescent="0.35">
      <c r="B146" s="122"/>
      <c r="R146" s="122"/>
      <c r="S146" s="49"/>
      <c r="T146" s="49"/>
      <c r="U146" s="4"/>
      <c r="V146" s="5"/>
      <c r="W146" s="3"/>
      <c r="X146" s="3"/>
      <c r="Y146" s="2"/>
      <c r="Z146" s="2"/>
      <c r="AA146" s="2"/>
      <c r="AB146" s="2"/>
      <c r="AC146" s="2"/>
      <c r="AD146" s="248"/>
      <c r="AE146" s="249"/>
      <c r="AF146" s="248"/>
      <c r="AG146" s="250"/>
      <c r="AH146" s="248"/>
    </row>
    <row r="147" spans="2:34" ht="15.5" x14ac:dyDescent="0.35">
      <c r="B147" s="122"/>
      <c r="R147" s="122"/>
      <c r="S147" s="49"/>
      <c r="T147" s="49"/>
      <c r="U147" s="13"/>
      <c r="V147" s="14"/>
      <c r="W147" s="15"/>
      <c r="X147" s="16"/>
      <c r="Y147" s="1"/>
      <c r="Z147" s="2"/>
      <c r="AA147" s="2"/>
      <c r="AB147" s="38"/>
      <c r="AC147" s="2"/>
      <c r="AD147" s="248"/>
      <c r="AE147" s="251"/>
      <c r="AF147" s="248"/>
      <c r="AG147" s="248"/>
      <c r="AH147" s="248"/>
    </row>
    <row r="148" spans="2:34" ht="15.5" x14ac:dyDescent="0.35">
      <c r="B148" s="122"/>
      <c r="R148" s="122"/>
      <c r="S148" s="49"/>
      <c r="T148" s="49"/>
      <c r="U148" s="4"/>
      <c r="V148" s="5"/>
      <c r="W148" s="3"/>
      <c r="X148" s="3"/>
      <c r="Y148" s="2"/>
      <c r="Z148" s="2"/>
      <c r="AA148" s="2"/>
      <c r="AB148" s="2"/>
      <c r="AC148" s="2"/>
      <c r="AD148" s="248"/>
      <c r="AE148" s="249"/>
      <c r="AF148" s="248"/>
      <c r="AG148" s="248"/>
      <c r="AH148" s="248"/>
    </row>
    <row r="149" spans="2:34" ht="15.5" x14ac:dyDescent="0.35">
      <c r="B149" s="122"/>
      <c r="R149" s="122"/>
      <c r="S149" s="49"/>
      <c r="T149" s="49"/>
      <c r="U149" s="13"/>
      <c r="V149" s="14"/>
      <c r="W149" s="15"/>
      <c r="X149" s="16"/>
      <c r="Y149" s="1"/>
      <c r="Z149" s="2"/>
      <c r="AA149" s="2"/>
      <c r="AB149" s="38"/>
      <c r="AC149" s="2"/>
      <c r="AD149" s="248"/>
      <c r="AE149" s="251"/>
      <c r="AF149" s="248"/>
      <c r="AG149" s="248"/>
      <c r="AH149" s="248"/>
    </row>
    <row r="150" spans="2:34" ht="15.5" x14ac:dyDescent="0.35">
      <c r="B150" s="122"/>
      <c r="R150" s="122"/>
      <c r="S150" s="49"/>
      <c r="T150" s="49"/>
      <c r="U150" s="4"/>
      <c r="V150" s="5"/>
      <c r="W150" s="3"/>
      <c r="X150" s="3"/>
      <c r="Y150" s="2"/>
      <c r="Z150" s="2"/>
      <c r="AA150" s="2"/>
      <c r="AB150" s="2"/>
      <c r="AC150" s="2"/>
      <c r="AD150" s="248"/>
      <c r="AE150" s="249"/>
      <c r="AF150" s="248"/>
      <c r="AG150" s="250"/>
      <c r="AH150" s="248"/>
    </row>
    <row r="151" spans="2:34" ht="15.5" x14ac:dyDescent="0.35">
      <c r="B151" s="122"/>
      <c r="R151" s="122"/>
      <c r="S151" s="49"/>
      <c r="T151" s="49"/>
      <c r="U151" s="4"/>
      <c r="V151" s="5"/>
      <c r="W151" s="3"/>
      <c r="X151" s="3"/>
      <c r="Y151" s="2"/>
      <c r="Z151" s="2"/>
      <c r="AA151" s="2"/>
      <c r="AB151" s="2"/>
      <c r="AC151" s="2"/>
      <c r="AD151" s="248"/>
      <c r="AE151" s="249"/>
      <c r="AF151" s="248"/>
      <c r="AG151" s="250"/>
      <c r="AH151" s="248"/>
    </row>
    <row r="152" spans="2:34" ht="15.5" x14ac:dyDescent="0.35">
      <c r="B152" s="122"/>
      <c r="R152" s="122"/>
      <c r="S152" s="49"/>
      <c r="T152" s="49"/>
      <c r="U152" s="4"/>
      <c r="V152" s="5"/>
      <c r="W152" s="3"/>
      <c r="X152" s="3"/>
      <c r="Y152" s="2"/>
      <c r="Z152" s="2"/>
      <c r="AA152" s="2"/>
      <c r="AB152" s="2"/>
      <c r="AC152" s="2"/>
      <c r="AD152" s="248"/>
      <c r="AE152" s="249"/>
      <c r="AF152" s="248"/>
      <c r="AG152" s="250"/>
      <c r="AH152" s="248"/>
    </row>
    <row r="153" spans="2:34" ht="15.5" x14ac:dyDescent="0.35">
      <c r="B153" s="122"/>
      <c r="R153" s="122"/>
      <c r="S153" s="49"/>
      <c r="T153" s="49"/>
      <c r="U153" s="4"/>
      <c r="V153" s="5"/>
      <c r="W153" s="3"/>
      <c r="X153" s="3"/>
      <c r="Y153" s="2"/>
      <c r="Z153" s="2"/>
      <c r="AA153" s="2"/>
      <c r="AB153" s="2"/>
      <c r="AC153" s="2"/>
      <c r="AD153" s="248"/>
      <c r="AE153" s="249"/>
      <c r="AF153" s="248"/>
      <c r="AG153" s="250"/>
      <c r="AH153" s="248"/>
    </row>
    <row r="154" spans="2:34" ht="15.5" x14ac:dyDescent="0.35">
      <c r="B154" s="122"/>
      <c r="R154" s="122"/>
      <c r="S154" s="49"/>
      <c r="T154" s="49"/>
      <c r="U154" s="4"/>
      <c r="V154" s="5"/>
      <c r="W154" s="3"/>
      <c r="X154" s="3"/>
      <c r="Y154" s="2"/>
      <c r="Z154" s="2"/>
      <c r="AA154" s="2"/>
      <c r="AB154" s="2"/>
      <c r="AC154" s="2"/>
      <c r="AD154" s="248"/>
      <c r="AE154" s="249"/>
      <c r="AF154" s="248"/>
      <c r="AG154" s="250"/>
      <c r="AH154" s="248"/>
    </row>
    <row r="155" spans="2:34" ht="15.5" x14ac:dyDescent="0.35">
      <c r="B155" s="122"/>
      <c r="R155" s="122"/>
      <c r="S155" s="49"/>
      <c r="T155" s="49"/>
      <c r="U155" s="4"/>
      <c r="V155" s="5"/>
      <c r="W155" s="3"/>
      <c r="X155" s="3"/>
      <c r="Y155" s="2"/>
      <c r="Z155" s="2"/>
      <c r="AA155" s="2"/>
      <c r="AB155" s="2"/>
      <c r="AC155" s="2"/>
      <c r="AD155" s="248"/>
      <c r="AE155" s="249"/>
      <c r="AF155" s="248"/>
      <c r="AG155" s="250"/>
      <c r="AH155" s="248"/>
    </row>
    <row r="156" spans="2:34" ht="15.5" x14ac:dyDescent="0.35">
      <c r="B156" s="122"/>
      <c r="R156" s="122"/>
      <c r="S156" s="49"/>
      <c r="T156" s="49"/>
      <c r="U156" s="4"/>
      <c r="V156" s="5"/>
      <c r="W156" s="3"/>
      <c r="X156" s="3"/>
      <c r="Y156" s="2"/>
      <c r="Z156" s="2"/>
      <c r="AA156" s="2"/>
      <c r="AB156" s="2"/>
      <c r="AC156" s="2"/>
      <c r="AD156" s="248"/>
      <c r="AE156" s="249"/>
      <c r="AF156" s="248"/>
      <c r="AG156" s="250"/>
      <c r="AH156" s="248"/>
    </row>
    <row r="157" spans="2:34" ht="15.5" x14ac:dyDescent="0.35">
      <c r="B157" s="122"/>
      <c r="R157" s="122"/>
      <c r="S157" s="49"/>
      <c r="T157" s="49"/>
      <c r="U157" s="4"/>
      <c r="V157" s="5"/>
      <c r="W157" s="3"/>
      <c r="X157" s="3"/>
      <c r="Y157" s="2"/>
      <c r="Z157" s="2"/>
      <c r="AA157" s="2"/>
      <c r="AB157" s="2"/>
      <c r="AC157" s="2"/>
      <c r="AD157" s="248"/>
      <c r="AE157" s="249"/>
      <c r="AF157" s="248"/>
      <c r="AG157" s="250"/>
      <c r="AH157" s="248"/>
    </row>
    <row r="158" spans="2:34" ht="15.5" x14ac:dyDescent="0.35">
      <c r="B158" s="122"/>
      <c r="R158" s="122"/>
      <c r="S158" s="49"/>
      <c r="T158" s="49"/>
      <c r="U158" s="4"/>
      <c r="V158" s="5"/>
      <c r="W158" s="3"/>
      <c r="X158" s="3"/>
      <c r="Y158" s="2"/>
      <c r="Z158" s="2"/>
      <c r="AA158" s="2"/>
      <c r="AB158" s="2"/>
      <c r="AC158" s="2"/>
      <c r="AD158" s="248"/>
      <c r="AE158" s="249"/>
      <c r="AF158" s="248"/>
      <c r="AG158" s="250"/>
      <c r="AH158" s="248"/>
    </row>
    <row r="159" spans="2:34" ht="15.5" x14ac:dyDescent="0.35">
      <c r="B159" s="122"/>
      <c r="R159" s="122"/>
      <c r="S159" s="49"/>
      <c r="T159" s="49"/>
      <c r="U159" s="4"/>
      <c r="V159" s="5"/>
      <c r="W159" s="3"/>
      <c r="X159" s="3"/>
      <c r="Y159" s="2"/>
      <c r="Z159" s="2"/>
      <c r="AA159" s="2"/>
      <c r="AB159" s="2"/>
      <c r="AC159" s="2"/>
      <c r="AD159" s="248"/>
      <c r="AE159" s="249"/>
      <c r="AF159" s="248"/>
      <c r="AG159" s="248"/>
      <c r="AH159" s="248"/>
    </row>
    <row r="160" spans="2:34" ht="15.5" x14ac:dyDescent="0.35">
      <c r="B160" s="122"/>
      <c r="R160" s="122"/>
      <c r="S160" s="49"/>
      <c r="T160" s="49"/>
      <c r="U160" s="4"/>
      <c r="V160" s="5"/>
      <c r="W160" s="3"/>
      <c r="X160" s="3"/>
      <c r="Y160" s="2"/>
      <c r="Z160" s="2"/>
      <c r="AA160" s="2"/>
      <c r="AB160" s="2"/>
      <c r="AC160" s="2"/>
      <c r="AD160" s="248"/>
      <c r="AE160" s="249"/>
      <c r="AF160" s="248"/>
      <c r="AG160" s="250"/>
      <c r="AH160" s="248"/>
    </row>
    <row r="161" spans="2:34" ht="15.5" x14ac:dyDescent="0.35">
      <c r="B161" s="122"/>
      <c r="R161" s="122"/>
      <c r="S161" s="49"/>
      <c r="T161" s="49"/>
      <c r="U161" s="4"/>
      <c r="V161" s="5"/>
      <c r="W161" s="3"/>
      <c r="X161" s="3"/>
      <c r="Y161" s="2"/>
      <c r="Z161" s="2"/>
      <c r="AA161" s="2"/>
      <c r="AB161" s="2"/>
      <c r="AC161" s="2"/>
      <c r="AD161" s="248"/>
      <c r="AE161" s="249"/>
      <c r="AF161" s="248"/>
      <c r="AG161" s="250"/>
      <c r="AH161" s="248"/>
    </row>
    <row r="162" spans="2:34" ht="15.5" x14ac:dyDescent="0.35">
      <c r="B162" s="122"/>
      <c r="R162" s="122"/>
      <c r="S162" s="49"/>
      <c r="T162" s="49"/>
      <c r="U162" s="4"/>
      <c r="V162" s="5"/>
      <c r="W162" s="3"/>
      <c r="X162" s="3"/>
      <c r="Y162" s="2"/>
      <c r="Z162" s="2"/>
      <c r="AA162" s="2"/>
      <c r="AB162" s="2"/>
      <c r="AC162" s="2"/>
      <c r="AD162" s="248"/>
      <c r="AE162" s="249"/>
      <c r="AF162" s="248"/>
      <c r="AG162" s="250"/>
      <c r="AH162" s="248"/>
    </row>
    <row r="163" spans="2:34" ht="15.5" x14ac:dyDescent="0.35">
      <c r="B163" s="122"/>
      <c r="R163" s="122"/>
      <c r="S163" s="49"/>
      <c r="T163" s="49"/>
      <c r="U163" s="4"/>
      <c r="V163" s="5"/>
      <c r="W163" s="3"/>
      <c r="X163" s="3"/>
      <c r="Y163" s="2"/>
      <c r="Z163" s="2"/>
      <c r="AA163" s="2"/>
      <c r="AB163" s="2"/>
      <c r="AC163" s="2"/>
      <c r="AD163" s="248"/>
      <c r="AE163" s="249"/>
      <c r="AF163" s="248"/>
      <c r="AG163" s="250"/>
      <c r="AH163" s="248"/>
    </row>
    <row r="164" spans="2:34" ht="15.5" x14ac:dyDescent="0.35">
      <c r="B164" s="122"/>
      <c r="R164" s="122"/>
      <c r="S164" s="49"/>
      <c r="T164" s="49"/>
      <c r="U164" s="13"/>
      <c r="V164" s="14"/>
      <c r="W164" s="15"/>
      <c r="X164" s="16"/>
      <c r="Y164" s="1"/>
      <c r="Z164" s="2"/>
      <c r="AA164" s="2"/>
      <c r="AB164" s="38"/>
      <c r="AC164" s="2"/>
      <c r="AD164" s="248"/>
      <c r="AE164" s="251"/>
      <c r="AF164" s="248"/>
      <c r="AG164" s="248"/>
      <c r="AH164" s="248"/>
    </row>
    <row r="165" spans="2:34" ht="15.5" x14ac:dyDescent="0.35">
      <c r="B165" s="122"/>
      <c r="R165" s="122"/>
      <c r="S165" s="49"/>
      <c r="T165" s="49"/>
      <c r="U165" s="4"/>
      <c r="V165" s="5"/>
      <c r="W165" s="3"/>
      <c r="X165" s="3"/>
      <c r="Y165" s="2"/>
      <c r="Z165" s="2"/>
      <c r="AA165" s="2"/>
      <c r="AB165" s="2"/>
      <c r="AC165" s="2"/>
      <c r="AD165" s="248"/>
      <c r="AE165" s="249"/>
      <c r="AF165" s="248"/>
      <c r="AG165" s="250"/>
      <c r="AH165" s="248"/>
    </row>
    <row r="166" spans="2:34" ht="15.5" x14ac:dyDescent="0.35">
      <c r="B166" s="122"/>
      <c r="R166" s="122"/>
      <c r="S166" s="49"/>
      <c r="T166" s="49"/>
      <c r="U166" s="4"/>
      <c r="V166" s="5"/>
      <c r="W166" s="3"/>
      <c r="X166" s="3"/>
      <c r="Y166" s="2"/>
      <c r="Z166" s="2"/>
      <c r="AA166" s="2"/>
      <c r="AB166" s="2"/>
      <c r="AC166" s="2"/>
      <c r="AD166" s="248"/>
      <c r="AE166" s="249"/>
      <c r="AF166" s="248"/>
      <c r="AG166" s="250"/>
      <c r="AH166" s="248"/>
    </row>
    <row r="167" spans="2:34" ht="15.5" x14ac:dyDescent="0.35">
      <c r="B167" s="122"/>
      <c r="R167" s="122"/>
      <c r="S167" s="49"/>
      <c r="T167" s="49"/>
      <c r="U167" s="4"/>
      <c r="V167" s="5"/>
      <c r="W167" s="3"/>
      <c r="X167" s="3"/>
      <c r="Y167" s="2"/>
      <c r="Z167" s="2"/>
      <c r="AA167" s="2"/>
      <c r="AB167" s="2"/>
      <c r="AC167" s="2"/>
      <c r="AD167" s="248"/>
      <c r="AE167" s="249"/>
      <c r="AF167" s="248"/>
      <c r="AG167" s="250"/>
      <c r="AH167" s="248"/>
    </row>
    <row r="168" spans="2:34" ht="15.5" x14ac:dyDescent="0.35">
      <c r="B168" s="122"/>
      <c r="R168" s="122"/>
      <c r="S168" s="49"/>
      <c r="T168" s="49"/>
      <c r="U168" s="4"/>
      <c r="V168" s="5"/>
      <c r="W168" s="3"/>
      <c r="X168" s="3"/>
      <c r="Y168" s="2"/>
      <c r="Z168" s="2"/>
      <c r="AA168" s="2"/>
      <c r="AB168" s="2"/>
      <c r="AC168" s="2"/>
      <c r="AD168" s="248"/>
      <c r="AE168" s="249"/>
      <c r="AF168" s="248"/>
      <c r="AG168" s="250"/>
      <c r="AH168" s="248"/>
    </row>
    <row r="169" spans="2:34" ht="15.5" x14ac:dyDescent="0.35">
      <c r="B169" s="122"/>
      <c r="R169" s="122"/>
      <c r="S169" s="49"/>
      <c r="T169" s="49"/>
      <c r="U169" s="4"/>
      <c r="V169" s="5"/>
      <c r="W169" s="3"/>
      <c r="X169" s="3"/>
      <c r="Y169" s="2"/>
      <c r="Z169" s="2"/>
      <c r="AA169" s="2"/>
      <c r="AB169" s="2"/>
      <c r="AC169" s="2"/>
      <c r="AD169" s="248"/>
      <c r="AE169" s="249"/>
      <c r="AF169" s="248"/>
      <c r="AG169" s="250"/>
      <c r="AH169" s="248"/>
    </row>
    <row r="170" spans="2:34" ht="15.5" x14ac:dyDescent="0.35">
      <c r="B170" s="122"/>
      <c r="R170" s="122"/>
      <c r="S170" s="49"/>
      <c r="T170" s="49"/>
      <c r="U170" s="4"/>
      <c r="V170" s="5"/>
      <c r="W170" s="3"/>
      <c r="X170" s="3"/>
      <c r="Y170" s="2"/>
      <c r="Z170" s="2"/>
      <c r="AA170" s="2"/>
      <c r="AB170" s="2"/>
      <c r="AC170" s="2"/>
      <c r="AD170" s="248"/>
      <c r="AE170" s="249"/>
      <c r="AF170" s="248"/>
      <c r="AG170" s="250"/>
      <c r="AH170" s="248"/>
    </row>
    <row r="171" spans="2:34" ht="15.5" x14ac:dyDescent="0.35">
      <c r="B171" s="122"/>
      <c r="R171" s="122"/>
      <c r="S171" s="49"/>
      <c r="T171" s="49"/>
      <c r="U171" s="4"/>
      <c r="V171" s="5"/>
      <c r="W171" s="3"/>
      <c r="X171" s="3"/>
      <c r="Y171" s="2"/>
      <c r="Z171" s="2"/>
      <c r="AA171" s="2"/>
      <c r="AB171" s="2"/>
      <c r="AC171" s="2"/>
      <c r="AD171" s="248"/>
      <c r="AE171" s="249"/>
      <c r="AF171" s="248"/>
      <c r="AG171" s="250"/>
      <c r="AH171" s="248"/>
    </row>
    <row r="172" spans="2:34" ht="15.5" x14ac:dyDescent="0.35">
      <c r="B172" s="122"/>
      <c r="R172" s="122"/>
      <c r="S172" s="56"/>
      <c r="T172" s="49"/>
      <c r="U172" s="4"/>
      <c r="V172" s="5"/>
      <c r="W172" s="3"/>
      <c r="X172" s="3"/>
      <c r="Y172" s="2"/>
      <c r="Z172" s="2"/>
      <c r="AA172" s="2"/>
      <c r="AB172" s="2"/>
      <c r="AC172" s="2"/>
      <c r="AD172" s="248"/>
      <c r="AE172" s="249"/>
      <c r="AF172" s="248"/>
      <c r="AG172" s="248"/>
      <c r="AH172" s="248"/>
    </row>
    <row r="173" spans="2:34" ht="15.5" x14ac:dyDescent="0.35">
      <c r="B173" s="122"/>
      <c r="R173" s="122"/>
      <c r="S173" s="49"/>
      <c r="T173" s="49"/>
      <c r="U173" s="4"/>
      <c r="V173" s="5"/>
      <c r="W173" s="3"/>
      <c r="X173" s="3"/>
      <c r="Y173" s="2"/>
      <c r="Z173" s="2"/>
      <c r="AA173" s="2"/>
      <c r="AB173" s="2"/>
      <c r="AC173" s="2"/>
      <c r="AD173" s="248"/>
      <c r="AE173" s="249"/>
      <c r="AF173" s="248"/>
      <c r="AG173" s="250"/>
      <c r="AH173" s="248"/>
    </row>
    <row r="174" spans="2:34" ht="15.5" x14ac:dyDescent="0.35">
      <c r="B174" s="122"/>
      <c r="R174" s="122"/>
      <c r="S174" s="49"/>
      <c r="T174" s="49"/>
      <c r="U174" s="4"/>
      <c r="V174" s="5"/>
      <c r="W174" s="3"/>
      <c r="X174" s="3"/>
      <c r="Y174" s="2"/>
      <c r="Z174" s="2"/>
      <c r="AA174" s="2"/>
      <c r="AB174" s="2"/>
      <c r="AC174" s="2"/>
      <c r="AD174" s="248"/>
      <c r="AE174" s="249"/>
      <c r="AF174" s="248"/>
      <c r="AG174" s="250"/>
      <c r="AH174" s="248"/>
    </row>
    <row r="175" spans="2:34" ht="15.5" x14ac:dyDescent="0.35">
      <c r="B175" s="122"/>
      <c r="R175" s="122"/>
      <c r="S175" s="49"/>
      <c r="T175" s="49"/>
      <c r="U175" s="4"/>
      <c r="V175" s="5"/>
      <c r="W175" s="3"/>
      <c r="X175" s="3"/>
      <c r="Y175" s="2"/>
      <c r="Z175" s="2"/>
      <c r="AA175" s="2"/>
      <c r="AB175" s="2"/>
      <c r="AC175" s="2"/>
      <c r="AD175" s="248"/>
      <c r="AE175" s="249"/>
      <c r="AF175" s="248"/>
      <c r="AG175" s="250"/>
      <c r="AH175" s="248"/>
    </row>
    <row r="176" spans="2:34" ht="15.5" x14ac:dyDescent="0.35">
      <c r="B176" s="122"/>
      <c r="R176" s="122"/>
      <c r="S176" s="49"/>
      <c r="T176" s="49"/>
      <c r="U176" s="4"/>
      <c r="V176" s="5"/>
      <c r="W176" s="3"/>
      <c r="X176" s="3"/>
      <c r="Y176" s="2"/>
      <c r="Z176" s="2"/>
      <c r="AA176" s="2"/>
      <c r="AB176" s="2"/>
      <c r="AC176" s="2"/>
      <c r="AD176" s="248"/>
      <c r="AE176" s="249"/>
      <c r="AF176" s="248"/>
      <c r="AG176" s="250"/>
      <c r="AH176" s="248"/>
    </row>
    <row r="177" spans="2:34" ht="15.5" x14ac:dyDescent="0.35">
      <c r="B177" s="122"/>
      <c r="R177" s="122"/>
      <c r="S177" s="49"/>
      <c r="T177" s="49"/>
      <c r="U177" s="4"/>
      <c r="V177" s="5"/>
      <c r="W177" s="3"/>
      <c r="X177" s="3"/>
      <c r="Y177" s="2"/>
      <c r="Z177" s="2"/>
      <c r="AA177" s="2"/>
      <c r="AB177" s="2"/>
      <c r="AC177" s="2"/>
      <c r="AD177" s="248"/>
      <c r="AE177" s="249"/>
      <c r="AF177" s="248"/>
      <c r="AG177" s="250"/>
      <c r="AH177" s="248"/>
    </row>
    <row r="178" spans="2:34" ht="15.5" x14ac:dyDescent="0.35">
      <c r="B178" s="122"/>
      <c r="R178" s="122"/>
      <c r="S178" s="56"/>
      <c r="T178" s="49"/>
      <c r="U178" s="13"/>
      <c r="V178" s="14"/>
      <c r="W178" s="15"/>
      <c r="X178" s="16"/>
      <c r="Y178" s="1"/>
      <c r="Z178" s="2"/>
      <c r="AA178" s="2"/>
      <c r="AB178" s="2"/>
      <c r="AC178" s="2"/>
      <c r="AD178" s="248"/>
      <c r="AE178" s="251"/>
      <c r="AF178" s="248"/>
      <c r="AG178" s="248"/>
      <c r="AH178" s="248"/>
    </row>
    <row r="179" spans="2:34" ht="15.5" x14ac:dyDescent="0.35">
      <c r="B179" s="122"/>
      <c r="R179" s="122"/>
      <c r="S179" s="49"/>
      <c r="T179" s="49"/>
      <c r="U179" s="4"/>
      <c r="V179" s="5"/>
      <c r="W179" s="3"/>
      <c r="X179" s="3"/>
      <c r="Y179" s="2"/>
      <c r="Z179" s="2"/>
      <c r="AA179" s="2"/>
      <c r="AB179" s="2"/>
      <c r="AC179" s="2"/>
      <c r="AD179" s="248"/>
      <c r="AE179" s="249"/>
      <c r="AF179" s="248"/>
      <c r="AG179" s="250"/>
      <c r="AH179" s="248"/>
    </row>
    <row r="180" spans="2:34" ht="15.5" x14ac:dyDescent="0.35">
      <c r="B180" s="122"/>
      <c r="R180" s="122"/>
      <c r="S180" s="56"/>
      <c r="T180" s="49"/>
      <c r="U180" s="13"/>
      <c r="V180" s="14"/>
      <c r="W180" s="15"/>
      <c r="X180" s="16"/>
      <c r="Y180" s="1"/>
      <c r="Z180" s="2"/>
      <c r="AA180" s="2"/>
      <c r="AB180" s="38"/>
      <c r="AC180" s="2"/>
      <c r="AD180" s="248"/>
      <c r="AE180" s="251"/>
      <c r="AF180" s="248"/>
      <c r="AG180" s="248"/>
      <c r="AH180" s="248"/>
    </row>
    <row r="181" spans="2:34" ht="15.5" x14ac:dyDescent="0.35">
      <c r="B181" s="122"/>
      <c r="R181" s="122"/>
      <c r="S181" s="49"/>
      <c r="T181" s="49"/>
      <c r="U181" s="4"/>
      <c r="V181" s="5"/>
      <c r="W181" s="3"/>
      <c r="X181" s="3"/>
      <c r="Y181" s="2"/>
      <c r="Z181" s="2"/>
      <c r="AA181" s="2"/>
      <c r="AB181" s="2"/>
      <c r="AC181" s="2"/>
      <c r="AD181" s="248"/>
      <c r="AE181" s="249"/>
      <c r="AF181" s="248"/>
      <c r="AG181" s="250"/>
      <c r="AH181" s="248"/>
    </row>
    <row r="182" spans="2:34" ht="15.5" x14ac:dyDescent="0.35">
      <c r="B182" s="122"/>
      <c r="R182" s="122"/>
      <c r="S182" s="56"/>
      <c r="T182" s="49"/>
      <c r="U182" s="13"/>
      <c r="V182" s="14"/>
      <c r="W182" s="15"/>
      <c r="X182" s="16"/>
      <c r="Y182" s="1"/>
      <c r="Z182" s="2"/>
      <c r="AA182" s="2"/>
      <c r="AB182" s="38"/>
      <c r="AC182" s="2"/>
      <c r="AD182" s="248"/>
      <c r="AE182" s="251"/>
      <c r="AF182" s="248"/>
      <c r="AG182" s="248"/>
      <c r="AH182" s="248"/>
    </row>
    <row r="183" spans="2:34" ht="15.5" x14ac:dyDescent="0.35">
      <c r="B183" s="122"/>
      <c r="R183" s="122"/>
      <c r="S183" s="49"/>
      <c r="T183" s="49"/>
      <c r="U183" s="4"/>
      <c r="V183" s="5"/>
      <c r="W183" s="3"/>
      <c r="X183" s="3"/>
      <c r="Y183" s="2"/>
      <c r="Z183" s="2"/>
      <c r="AA183" s="2"/>
      <c r="AB183" s="2"/>
      <c r="AC183" s="2"/>
      <c r="AD183" s="248"/>
      <c r="AE183" s="249"/>
      <c r="AF183" s="248"/>
      <c r="AG183" s="250"/>
      <c r="AH183" s="248"/>
    </row>
    <row r="184" spans="2:34" ht="15.5" x14ac:dyDescent="0.35">
      <c r="B184" s="122"/>
      <c r="R184" s="122"/>
      <c r="S184" s="49"/>
      <c r="T184" s="50"/>
      <c r="U184" s="21"/>
      <c r="V184" s="22"/>
      <c r="W184" s="3"/>
      <c r="X184" s="17"/>
      <c r="Y184" s="23"/>
      <c r="Z184" s="23"/>
      <c r="AA184" s="23"/>
      <c r="AB184" s="2"/>
      <c r="AC184" s="2"/>
      <c r="AD184" s="248"/>
      <c r="AE184" s="251"/>
      <c r="AF184" s="248"/>
      <c r="AG184" s="248"/>
      <c r="AH184" s="248"/>
    </row>
    <row r="185" spans="2:34" ht="15.5" x14ac:dyDescent="0.35">
      <c r="B185" s="122"/>
      <c r="R185" s="122"/>
      <c r="S185" s="49"/>
      <c r="T185" s="50"/>
      <c r="U185" s="21"/>
      <c r="V185" s="22"/>
      <c r="W185" s="3"/>
      <c r="X185" s="17"/>
      <c r="Y185" s="23"/>
      <c r="Z185" s="23"/>
      <c r="AA185" s="23"/>
      <c r="AB185" s="2"/>
      <c r="AC185" s="2"/>
      <c r="AD185" s="248"/>
      <c r="AE185" s="251"/>
      <c r="AF185" s="248"/>
      <c r="AG185" s="248"/>
      <c r="AH185" s="248"/>
    </row>
    <row r="186" spans="2:34" ht="15.5" x14ac:dyDescent="0.35">
      <c r="B186" s="122"/>
      <c r="R186" s="122"/>
      <c r="S186" s="49"/>
      <c r="T186" s="50"/>
      <c r="U186" s="21"/>
      <c r="V186" s="22"/>
      <c r="W186" s="3"/>
      <c r="X186" s="17"/>
      <c r="Y186" s="23"/>
      <c r="Z186" s="23"/>
      <c r="AA186" s="23"/>
      <c r="AB186" s="2"/>
      <c r="AC186" s="2"/>
      <c r="AD186" s="248"/>
      <c r="AE186" s="251"/>
      <c r="AF186" s="248"/>
      <c r="AG186" s="248"/>
      <c r="AH186" s="248"/>
    </row>
    <row r="187" spans="2:34" ht="15.5" x14ac:dyDescent="0.35">
      <c r="B187" s="122"/>
      <c r="R187" s="122"/>
      <c r="S187" s="49"/>
      <c r="T187" s="50"/>
      <c r="U187" s="21"/>
      <c r="V187" s="22"/>
      <c r="W187" s="26"/>
      <c r="X187" s="17"/>
      <c r="Y187" s="23"/>
      <c r="Z187" s="23"/>
      <c r="AA187" s="23"/>
      <c r="AB187" s="2"/>
      <c r="AC187" s="2"/>
      <c r="AD187" s="248"/>
      <c r="AE187" s="251"/>
      <c r="AF187" s="248"/>
      <c r="AG187" s="248"/>
      <c r="AH187" s="248"/>
    </row>
    <row r="188" spans="2:34" ht="15.5" x14ac:dyDescent="0.35">
      <c r="B188" s="122"/>
      <c r="R188" s="122"/>
      <c r="S188" s="49"/>
      <c r="T188" s="50"/>
      <c r="U188" s="21"/>
      <c r="V188" s="22"/>
      <c r="W188" s="3"/>
      <c r="X188" s="17"/>
      <c r="Y188" s="23"/>
      <c r="Z188" s="23"/>
      <c r="AA188" s="23"/>
      <c r="AB188" s="2"/>
      <c r="AC188" s="2"/>
      <c r="AD188" s="248"/>
      <c r="AE188" s="251"/>
      <c r="AF188" s="248"/>
      <c r="AG188" s="248"/>
      <c r="AH188" s="248"/>
    </row>
    <row r="189" spans="2:34" ht="15.5" x14ac:dyDescent="0.35">
      <c r="B189" s="122"/>
      <c r="R189" s="122"/>
      <c r="S189" s="49"/>
      <c r="T189" s="51"/>
      <c r="U189" s="32"/>
      <c r="V189" s="33"/>
      <c r="W189" s="26"/>
      <c r="X189" s="17"/>
      <c r="Y189" s="34"/>
      <c r="Z189" s="23"/>
      <c r="AA189" s="23"/>
      <c r="AB189" s="2"/>
      <c r="AC189" s="2"/>
      <c r="AD189" s="248"/>
      <c r="AE189" s="251"/>
      <c r="AF189" s="248"/>
      <c r="AG189" s="248"/>
      <c r="AH189" s="248"/>
    </row>
    <row r="190" spans="2:34" ht="15.5" x14ac:dyDescent="0.35">
      <c r="B190" s="122"/>
      <c r="R190" s="122"/>
      <c r="S190" s="49"/>
      <c r="T190" s="50"/>
      <c r="U190" s="21"/>
      <c r="V190" s="22"/>
      <c r="W190" s="26"/>
      <c r="X190" s="17"/>
      <c r="Y190" s="23"/>
      <c r="Z190" s="23"/>
      <c r="AA190" s="23"/>
      <c r="AB190" s="2"/>
      <c r="AC190" s="2"/>
      <c r="AD190" s="248"/>
      <c r="AE190" s="251"/>
      <c r="AF190" s="248"/>
      <c r="AG190" s="248"/>
      <c r="AH190" s="248"/>
    </row>
    <row r="191" spans="2:34" ht="15.5" x14ac:dyDescent="0.35">
      <c r="B191" s="122"/>
      <c r="R191" s="122"/>
      <c r="S191" s="49"/>
      <c r="T191" s="50"/>
      <c r="U191" s="21"/>
      <c r="V191" s="22"/>
      <c r="W191" s="26"/>
      <c r="X191" s="17"/>
      <c r="Y191" s="23"/>
      <c r="Z191" s="23"/>
      <c r="AA191" s="23"/>
      <c r="AB191" s="2"/>
      <c r="AC191" s="2"/>
      <c r="AD191" s="248"/>
      <c r="AE191" s="251"/>
      <c r="AF191" s="248"/>
      <c r="AG191" s="248"/>
      <c r="AH191" s="248"/>
    </row>
    <row r="192" spans="2:34" ht="15.5" x14ac:dyDescent="0.35">
      <c r="B192" s="122"/>
      <c r="R192" s="122"/>
      <c r="S192" s="49"/>
      <c r="T192" s="50"/>
      <c r="U192" s="21"/>
      <c r="V192" s="22"/>
      <c r="W192" s="26"/>
      <c r="X192" s="17"/>
      <c r="Y192" s="23"/>
      <c r="Z192" s="23"/>
      <c r="AA192" s="23"/>
      <c r="AB192" s="2"/>
      <c r="AC192" s="2"/>
      <c r="AD192" s="248"/>
      <c r="AE192" s="251"/>
      <c r="AF192" s="248"/>
      <c r="AG192" s="248"/>
      <c r="AH192" s="248"/>
    </row>
    <row r="193" spans="2:34" ht="15.5" x14ac:dyDescent="0.35">
      <c r="B193" s="122"/>
      <c r="R193" s="122"/>
      <c r="S193" s="49"/>
      <c r="T193" s="49"/>
      <c r="U193" s="13"/>
      <c r="V193" s="14"/>
      <c r="W193" s="15"/>
      <c r="X193" s="16"/>
      <c r="Y193" s="1"/>
      <c r="Z193" s="2"/>
      <c r="AA193" s="2"/>
      <c r="AB193" s="38"/>
      <c r="AC193" s="2"/>
      <c r="AD193" s="248"/>
      <c r="AE193" s="251"/>
      <c r="AF193" s="248"/>
      <c r="AG193" s="248"/>
      <c r="AH193" s="248"/>
    </row>
    <row r="194" spans="2:34" ht="15.5" x14ac:dyDescent="0.35">
      <c r="B194" s="122"/>
      <c r="R194" s="122"/>
      <c r="S194" s="49"/>
      <c r="T194" s="49"/>
      <c r="U194" s="13"/>
      <c r="V194" s="14"/>
      <c r="W194" s="15"/>
      <c r="X194" s="16"/>
      <c r="Y194" s="1"/>
      <c r="Z194" s="2"/>
      <c r="AA194" s="2"/>
      <c r="AB194" s="38"/>
      <c r="AC194" s="38"/>
      <c r="AD194" s="248"/>
      <c r="AE194" s="251"/>
      <c r="AF194" s="248"/>
      <c r="AG194" s="248"/>
      <c r="AH194" s="248"/>
    </row>
    <row r="195" spans="2:34" ht="15.5" x14ac:dyDescent="0.35">
      <c r="B195" s="122"/>
      <c r="R195" s="122"/>
      <c r="S195" s="49"/>
      <c r="T195" s="49"/>
      <c r="U195" s="4"/>
      <c r="V195" s="5"/>
      <c r="W195" s="3"/>
      <c r="X195" s="3"/>
      <c r="Y195" s="2"/>
      <c r="Z195" s="2"/>
      <c r="AA195" s="2"/>
      <c r="AB195" s="2"/>
      <c r="AC195" s="2"/>
      <c r="AD195" s="248"/>
      <c r="AE195" s="249"/>
      <c r="AF195" s="248"/>
      <c r="AG195" s="250"/>
      <c r="AH195" s="248"/>
    </row>
    <row r="196" spans="2:34" ht="15.5" x14ac:dyDescent="0.35">
      <c r="B196" s="122"/>
      <c r="R196" s="122"/>
      <c r="S196" s="49"/>
      <c r="T196" s="49"/>
      <c r="U196" s="4"/>
      <c r="V196" s="5"/>
      <c r="W196" s="3"/>
      <c r="X196" s="3"/>
      <c r="Y196" s="2"/>
      <c r="Z196" s="2"/>
      <c r="AA196" s="2"/>
      <c r="AB196" s="2"/>
      <c r="AC196" s="2"/>
      <c r="AD196" s="248"/>
      <c r="AE196" s="249"/>
      <c r="AF196" s="248"/>
      <c r="AG196" s="248"/>
      <c r="AH196" s="248"/>
    </row>
    <row r="197" spans="2:34" ht="15.5" x14ac:dyDescent="0.35">
      <c r="B197" s="122"/>
      <c r="R197" s="122"/>
      <c r="S197" s="49"/>
      <c r="T197" s="49"/>
      <c r="U197" s="4"/>
      <c r="V197" s="5"/>
      <c r="W197" s="3"/>
      <c r="X197" s="3"/>
      <c r="Y197" s="2"/>
      <c r="Z197" s="2"/>
      <c r="AA197" s="2"/>
      <c r="AB197" s="2"/>
      <c r="AC197" s="2"/>
      <c r="AD197" s="248"/>
      <c r="AE197" s="249"/>
      <c r="AF197" s="248"/>
      <c r="AG197" s="250"/>
      <c r="AH197" s="248"/>
    </row>
    <row r="198" spans="2:34" ht="15.5" x14ac:dyDescent="0.35">
      <c r="B198" s="122"/>
      <c r="R198" s="122"/>
      <c r="S198" s="49"/>
      <c r="T198" s="49"/>
      <c r="U198" s="4"/>
      <c r="V198" s="5"/>
      <c r="W198" s="3"/>
      <c r="X198" s="3"/>
      <c r="Y198" s="2"/>
      <c r="Z198" s="2"/>
      <c r="AA198" s="2"/>
      <c r="AB198" s="2"/>
      <c r="AC198" s="2"/>
      <c r="AD198" s="248"/>
      <c r="AE198" s="258"/>
      <c r="AF198" s="248"/>
      <c r="AG198" s="248"/>
      <c r="AH198" s="248"/>
    </row>
    <row r="199" spans="2:34" ht="15.5" x14ac:dyDescent="0.35">
      <c r="B199" s="122"/>
      <c r="R199" s="122"/>
      <c r="S199" s="49"/>
      <c r="T199" s="49"/>
      <c r="U199" s="13"/>
      <c r="V199" s="14"/>
      <c r="W199" s="15"/>
      <c r="X199" s="16"/>
      <c r="Y199" s="27"/>
      <c r="Z199" s="27"/>
      <c r="AA199" s="27"/>
      <c r="AB199" s="38"/>
      <c r="AC199" s="38"/>
      <c r="AD199" s="248"/>
      <c r="AE199" s="256"/>
      <c r="AF199" s="248"/>
      <c r="AG199" s="257"/>
      <c r="AH199" s="248"/>
    </row>
    <row r="200" spans="2:34" ht="15.5" x14ac:dyDescent="0.35">
      <c r="B200" s="122"/>
      <c r="R200" s="122"/>
      <c r="S200" s="49"/>
      <c r="T200" s="49"/>
      <c r="U200" s="13"/>
      <c r="V200" s="14"/>
      <c r="W200" s="15"/>
      <c r="X200" s="16"/>
      <c r="Y200" s="27"/>
      <c r="Z200" s="27"/>
      <c r="AA200" s="27"/>
      <c r="AB200" s="38"/>
      <c r="AC200" s="38"/>
      <c r="AD200" s="248"/>
      <c r="AE200" s="256"/>
      <c r="AF200" s="248"/>
      <c r="AG200" s="257"/>
      <c r="AH200" s="248"/>
    </row>
    <row r="201" spans="2:34" ht="15.5" x14ac:dyDescent="0.35">
      <c r="B201" s="122"/>
      <c r="R201" s="122"/>
      <c r="S201" s="49"/>
      <c r="T201" s="49"/>
      <c r="U201" s="13"/>
      <c r="V201" s="14"/>
      <c r="W201" s="15"/>
      <c r="X201" s="16"/>
      <c r="Y201" s="27"/>
      <c r="Z201" s="27"/>
      <c r="AA201" s="27"/>
      <c r="AB201" s="38"/>
      <c r="AC201" s="38"/>
      <c r="AD201" s="248"/>
      <c r="AE201" s="256"/>
      <c r="AF201" s="248"/>
      <c r="AG201" s="257"/>
      <c r="AH201" s="248"/>
    </row>
    <row r="202" spans="2:34" ht="15.5" x14ac:dyDescent="0.35">
      <c r="B202" s="122"/>
      <c r="R202" s="122"/>
      <c r="S202" s="49"/>
      <c r="T202" s="49"/>
      <c r="U202" s="13"/>
      <c r="V202" s="14"/>
      <c r="W202" s="15"/>
      <c r="X202" s="16"/>
      <c r="Y202" s="27"/>
      <c r="Z202" s="27"/>
      <c r="AA202" s="27"/>
      <c r="AB202" s="38"/>
      <c r="AC202" s="38"/>
      <c r="AD202" s="248"/>
      <c r="AE202" s="256"/>
      <c r="AF202" s="248"/>
      <c r="AG202" s="257"/>
      <c r="AH202" s="248"/>
    </row>
    <row r="203" spans="2:34" ht="15.5" x14ac:dyDescent="0.35">
      <c r="B203" s="122"/>
      <c r="R203" s="122"/>
      <c r="S203" s="49"/>
      <c r="T203" s="49"/>
      <c r="U203" s="13"/>
      <c r="V203" s="14"/>
      <c r="W203" s="15"/>
      <c r="X203" s="16"/>
      <c r="Y203" s="1"/>
      <c r="Z203" s="2"/>
      <c r="AA203" s="2"/>
      <c r="AB203" s="38"/>
      <c r="AC203" s="2"/>
      <c r="AD203" s="248"/>
      <c r="AE203" s="251"/>
      <c r="AF203" s="248"/>
      <c r="AG203" s="248"/>
      <c r="AH203" s="248"/>
    </row>
    <row r="204" spans="2:34" ht="15.5" x14ac:dyDescent="0.35">
      <c r="B204" s="122"/>
      <c r="R204" s="122"/>
      <c r="S204" s="49"/>
      <c r="T204" s="49"/>
      <c r="U204" s="4"/>
      <c r="V204" s="5"/>
      <c r="W204" s="3"/>
      <c r="X204" s="3"/>
      <c r="Y204" s="2"/>
      <c r="Z204" s="2"/>
      <c r="AA204" s="2"/>
      <c r="AB204" s="2"/>
      <c r="AC204" s="2"/>
      <c r="AD204" s="248"/>
      <c r="AE204" s="249"/>
      <c r="AF204" s="248"/>
      <c r="AG204" s="250"/>
      <c r="AH204" s="248"/>
    </row>
    <row r="205" spans="2:34" ht="15.5" x14ac:dyDescent="0.35">
      <c r="B205" s="122"/>
      <c r="R205" s="122"/>
      <c r="S205" s="49"/>
      <c r="T205" s="49"/>
      <c r="U205" s="4"/>
      <c r="V205" s="5"/>
      <c r="W205" s="3"/>
      <c r="X205" s="3"/>
      <c r="Y205" s="2"/>
      <c r="Z205" s="2"/>
      <c r="AA205" s="2"/>
      <c r="AB205" s="2"/>
      <c r="AC205" s="2"/>
      <c r="AD205" s="248"/>
      <c r="AE205" s="249"/>
      <c r="AF205" s="248"/>
      <c r="AG205" s="250"/>
      <c r="AH205" s="248"/>
    </row>
    <row r="206" spans="2:34" ht="15.5" x14ac:dyDescent="0.35">
      <c r="B206" s="122"/>
      <c r="R206" s="122"/>
      <c r="S206" s="49"/>
      <c r="T206" s="49"/>
      <c r="U206" s="13"/>
      <c r="V206" s="14"/>
      <c r="W206" s="15"/>
      <c r="X206" s="16"/>
      <c r="Y206" s="1"/>
      <c r="Z206" s="2"/>
      <c r="AA206" s="2"/>
      <c r="AB206" s="38"/>
      <c r="AC206" s="38"/>
      <c r="AD206" s="248"/>
      <c r="AE206" s="251"/>
      <c r="AF206" s="248"/>
      <c r="AG206" s="248"/>
      <c r="AH206" s="248"/>
    </row>
    <row r="207" spans="2:34" ht="15.5" x14ac:dyDescent="0.35">
      <c r="B207" s="122"/>
      <c r="R207" s="122"/>
      <c r="S207" s="49"/>
      <c r="T207" s="49"/>
      <c r="U207" s="13"/>
      <c r="V207" s="14"/>
      <c r="W207" s="15"/>
      <c r="X207" s="16"/>
      <c r="Y207" s="1"/>
      <c r="Z207" s="2"/>
      <c r="AA207" s="2"/>
      <c r="AB207" s="38"/>
      <c r="AC207" s="38"/>
      <c r="AD207" s="248"/>
      <c r="AE207" s="251"/>
      <c r="AF207" s="248"/>
      <c r="AG207" s="248"/>
      <c r="AH207" s="248"/>
    </row>
    <row r="208" spans="2:34" ht="15.5" x14ac:dyDescent="0.35">
      <c r="B208" s="122"/>
      <c r="R208" s="122"/>
      <c r="S208" s="49"/>
      <c r="T208" s="49"/>
      <c r="U208" s="13"/>
      <c r="V208" s="14"/>
      <c r="W208" s="15"/>
      <c r="X208" s="16"/>
      <c r="Y208" s="1"/>
      <c r="Z208" s="2"/>
      <c r="AA208" s="2"/>
      <c r="AB208" s="38"/>
      <c r="AC208" s="38"/>
      <c r="AD208" s="248"/>
      <c r="AE208" s="251"/>
      <c r="AF208" s="248"/>
      <c r="AG208" s="248"/>
      <c r="AH208" s="248"/>
    </row>
    <row r="209" spans="2:34" ht="15.5" x14ac:dyDescent="0.35">
      <c r="B209" s="122"/>
      <c r="R209" s="122"/>
      <c r="S209" s="49"/>
      <c r="T209" s="49"/>
      <c r="U209" s="4"/>
      <c r="V209" s="5"/>
      <c r="W209" s="3"/>
      <c r="X209" s="3"/>
      <c r="Y209" s="2"/>
      <c r="Z209" s="2"/>
      <c r="AA209" s="2"/>
      <c r="AB209" s="2"/>
      <c r="AC209" s="2"/>
      <c r="AD209" s="248"/>
      <c r="AE209" s="249"/>
      <c r="AF209" s="248"/>
      <c r="AG209" s="250"/>
      <c r="AH209" s="248"/>
    </row>
    <row r="210" spans="2:34" ht="15.5" x14ac:dyDescent="0.35">
      <c r="B210" s="122"/>
      <c r="R210" s="122"/>
      <c r="S210" s="49"/>
      <c r="T210" s="49"/>
      <c r="U210" s="4"/>
      <c r="V210" s="5"/>
      <c r="W210" s="3"/>
      <c r="X210" s="3"/>
      <c r="Y210" s="2"/>
      <c r="Z210" s="2"/>
      <c r="AA210" s="2"/>
      <c r="AB210" s="2"/>
      <c r="AC210" s="2"/>
      <c r="AD210" s="248"/>
      <c r="AE210" s="249"/>
      <c r="AF210" s="248"/>
      <c r="AG210" s="250"/>
      <c r="AH210" s="248"/>
    </row>
    <row r="211" spans="2:34" ht="15.5" x14ac:dyDescent="0.35">
      <c r="B211" s="122"/>
      <c r="R211" s="122"/>
      <c r="S211" s="49"/>
      <c r="T211" s="49"/>
      <c r="U211" s="13"/>
      <c r="V211" s="14"/>
      <c r="W211" s="15"/>
      <c r="X211" s="16"/>
      <c r="Y211" s="1"/>
      <c r="Z211" s="2"/>
      <c r="AA211" s="2"/>
      <c r="AB211" s="38"/>
      <c r="AC211" s="38"/>
      <c r="AD211" s="248"/>
      <c r="AE211" s="251"/>
      <c r="AF211" s="248"/>
      <c r="AG211" s="248"/>
      <c r="AH211" s="248"/>
    </row>
    <row r="212" spans="2:34" ht="15.5" x14ac:dyDescent="0.35">
      <c r="B212" s="122"/>
      <c r="R212" s="122"/>
      <c r="S212" s="49"/>
      <c r="T212" s="49"/>
      <c r="U212" s="4"/>
      <c r="V212" s="5"/>
      <c r="W212" s="3"/>
      <c r="X212" s="3"/>
      <c r="Y212" s="2"/>
      <c r="Z212" s="2"/>
      <c r="AA212" s="2"/>
      <c r="AB212" s="2"/>
      <c r="AC212" s="2"/>
      <c r="AD212" s="248"/>
      <c r="AE212" s="249"/>
      <c r="AF212" s="248"/>
      <c r="AG212" s="250"/>
      <c r="AH212" s="248"/>
    </row>
    <row r="213" spans="2:34" ht="15.5" x14ac:dyDescent="0.35">
      <c r="B213" s="122"/>
      <c r="R213" s="122"/>
      <c r="S213" s="49"/>
      <c r="T213" s="49"/>
      <c r="U213" s="4"/>
      <c r="V213" s="5"/>
      <c r="W213" s="3"/>
      <c r="X213" s="3"/>
      <c r="Y213" s="2"/>
      <c r="Z213" s="2"/>
      <c r="AA213" s="2"/>
      <c r="AB213" s="2"/>
      <c r="AC213" s="2"/>
      <c r="AD213" s="248"/>
      <c r="AE213" s="249"/>
      <c r="AF213" s="248"/>
      <c r="AG213" s="250"/>
      <c r="AH213" s="248"/>
    </row>
    <row r="214" spans="2:34" ht="15.5" x14ac:dyDescent="0.35">
      <c r="B214" s="122"/>
      <c r="R214" s="122"/>
      <c r="S214" s="49"/>
      <c r="T214" s="49"/>
      <c r="U214" s="4"/>
      <c r="V214" s="5"/>
      <c r="W214" s="3"/>
      <c r="X214" s="3"/>
      <c r="Y214" s="2"/>
      <c r="Z214" s="2"/>
      <c r="AA214" s="2"/>
      <c r="AB214" s="2"/>
      <c r="AC214" s="38"/>
      <c r="AD214" s="248"/>
      <c r="AE214" s="249"/>
      <c r="AF214" s="248"/>
      <c r="AG214" s="250"/>
      <c r="AH214" s="248"/>
    </row>
    <row r="215" spans="2:34" ht="15.5" x14ac:dyDescent="0.35">
      <c r="B215" s="122"/>
      <c r="R215" s="122"/>
      <c r="S215" s="49"/>
      <c r="T215" s="49"/>
      <c r="U215" s="4"/>
      <c r="V215" s="5"/>
      <c r="W215" s="3"/>
      <c r="X215" s="3"/>
      <c r="Y215" s="2"/>
      <c r="Z215" s="2"/>
      <c r="AA215" s="2"/>
      <c r="AB215" s="2"/>
      <c r="AC215" s="2"/>
      <c r="AD215" s="248"/>
      <c r="AE215" s="249"/>
      <c r="AF215" s="248"/>
      <c r="AG215" s="250"/>
      <c r="AH215" s="248"/>
    </row>
    <row r="216" spans="2:34" ht="15.5" x14ac:dyDescent="0.35">
      <c r="B216" s="122"/>
      <c r="R216" s="122"/>
      <c r="S216" s="49"/>
      <c r="T216" s="49"/>
      <c r="U216" s="13"/>
      <c r="V216" s="14"/>
      <c r="W216" s="15"/>
      <c r="X216" s="16"/>
      <c r="Y216" s="1"/>
      <c r="Z216" s="2"/>
      <c r="AA216" s="2"/>
      <c r="AB216" s="38"/>
      <c r="AC216" s="38"/>
      <c r="AD216" s="248"/>
      <c r="AE216" s="251"/>
      <c r="AF216" s="248"/>
      <c r="AG216" s="248"/>
      <c r="AH216" s="248"/>
    </row>
    <row r="217" spans="2:34" ht="15.5" x14ac:dyDescent="0.35">
      <c r="B217" s="122"/>
      <c r="R217" s="122"/>
      <c r="S217" s="49"/>
      <c r="T217" s="49"/>
      <c r="U217" s="4"/>
      <c r="V217" s="5"/>
      <c r="W217" s="3"/>
      <c r="X217" s="3"/>
      <c r="Y217" s="2"/>
      <c r="Z217" s="2"/>
      <c r="AA217" s="2"/>
      <c r="AB217" s="2"/>
      <c r="AC217" s="2"/>
      <c r="AD217" s="248"/>
      <c r="AE217" s="249"/>
      <c r="AF217" s="248"/>
      <c r="AG217" s="250"/>
      <c r="AH217" s="248"/>
    </row>
    <row r="218" spans="2:34" ht="15.5" x14ac:dyDescent="0.35">
      <c r="B218" s="122"/>
      <c r="R218" s="122"/>
      <c r="S218" s="49"/>
      <c r="T218" s="49"/>
      <c r="U218" s="4"/>
      <c r="V218" s="5"/>
      <c r="W218" s="3"/>
      <c r="X218" s="3"/>
      <c r="Y218" s="2"/>
      <c r="Z218" s="2"/>
      <c r="AA218" s="2"/>
      <c r="AB218" s="2"/>
      <c r="AC218" s="2"/>
      <c r="AD218" s="248"/>
      <c r="AE218" s="249"/>
      <c r="AF218" s="248"/>
      <c r="AG218" s="250"/>
      <c r="AH218" s="248"/>
    </row>
    <row r="219" spans="2:34" ht="15.5" x14ac:dyDescent="0.35">
      <c r="B219" s="122"/>
      <c r="R219" s="122"/>
      <c r="S219" s="49"/>
      <c r="T219" s="50"/>
      <c r="U219" s="21"/>
      <c r="V219" s="22"/>
      <c r="W219" s="26"/>
      <c r="X219" s="17"/>
      <c r="Y219" s="23"/>
      <c r="Z219" s="23"/>
      <c r="AA219" s="23"/>
      <c r="AB219" s="2"/>
      <c r="AC219" s="2"/>
      <c r="AD219" s="248"/>
      <c r="AE219" s="251"/>
      <c r="AF219" s="248"/>
      <c r="AG219" s="248"/>
      <c r="AH219" s="248"/>
    </row>
    <row r="220" spans="2:34" ht="15.5" x14ac:dyDescent="0.35">
      <c r="B220" s="122"/>
      <c r="R220" s="122"/>
      <c r="S220" s="49"/>
      <c r="T220" s="50"/>
      <c r="U220" s="21"/>
      <c r="V220" s="22"/>
      <c r="W220" s="3"/>
      <c r="X220" s="17"/>
      <c r="Y220" s="23"/>
      <c r="Z220" s="23"/>
      <c r="AA220" s="23"/>
      <c r="AB220" s="2"/>
      <c r="AC220" s="2"/>
      <c r="AD220" s="248"/>
      <c r="AE220" s="251"/>
      <c r="AF220" s="248"/>
      <c r="AG220" s="248"/>
      <c r="AH220" s="248"/>
    </row>
    <row r="221" spans="2:34" ht="15.5" x14ac:dyDescent="0.35">
      <c r="B221" s="122"/>
      <c r="R221" s="122"/>
      <c r="S221" s="49"/>
      <c r="T221" s="50"/>
      <c r="U221" s="21"/>
      <c r="V221" s="22"/>
      <c r="W221" s="26"/>
      <c r="X221" s="17"/>
      <c r="Y221" s="23"/>
      <c r="Z221" s="23"/>
      <c r="AA221" s="23"/>
      <c r="AB221" s="2"/>
      <c r="AC221" s="2"/>
      <c r="AD221" s="248"/>
      <c r="AE221" s="251"/>
      <c r="AF221" s="248"/>
      <c r="AG221" s="248"/>
      <c r="AH221" s="248"/>
    </row>
    <row r="222" spans="2:34" ht="15.5" x14ac:dyDescent="0.35">
      <c r="B222" s="122"/>
      <c r="R222" s="122"/>
      <c r="S222" s="49"/>
      <c r="T222" s="51"/>
      <c r="U222" s="32"/>
      <c r="V222" s="33"/>
      <c r="W222" s="26"/>
      <c r="X222" s="17"/>
      <c r="Y222" s="34"/>
      <c r="Z222" s="23"/>
      <c r="AA222" s="23"/>
      <c r="AB222" s="2"/>
      <c r="AC222" s="2"/>
      <c r="AD222" s="248"/>
      <c r="AE222" s="251"/>
      <c r="AF222" s="248"/>
      <c r="AG222" s="248"/>
      <c r="AH222" s="248"/>
    </row>
    <row r="223" spans="2:34" ht="15.5" x14ac:dyDescent="0.35">
      <c r="B223" s="122"/>
      <c r="R223" s="122"/>
      <c r="S223" s="49"/>
      <c r="T223" s="49"/>
      <c r="U223" s="4"/>
      <c r="V223" s="5"/>
      <c r="W223" s="3"/>
      <c r="X223" s="3"/>
      <c r="Y223" s="2"/>
      <c r="Z223" s="2"/>
      <c r="AA223" s="2"/>
      <c r="AB223" s="2"/>
      <c r="AC223" s="2"/>
      <c r="AD223" s="248"/>
      <c r="AE223" s="249"/>
      <c r="AF223" s="248"/>
      <c r="AG223" s="250"/>
      <c r="AH223" s="248"/>
    </row>
    <row r="224" spans="2:34" ht="15.5" x14ac:dyDescent="0.35">
      <c r="B224" s="122"/>
      <c r="R224" s="122"/>
      <c r="S224" s="49"/>
      <c r="T224" s="49"/>
      <c r="U224" s="4"/>
      <c r="V224" s="5"/>
      <c r="W224" s="3"/>
      <c r="X224" s="3"/>
      <c r="Y224" s="2"/>
      <c r="Z224" s="2"/>
      <c r="AA224" s="2"/>
      <c r="AB224" s="2"/>
      <c r="AC224" s="2"/>
      <c r="AD224" s="248"/>
      <c r="AE224" s="249"/>
      <c r="AF224" s="248"/>
      <c r="AG224" s="250"/>
      <c r="AH224" s="248"/>
    </row>
    <row r="225" spans="2:34" ht="15.5" x14ac:dyDescent="0.35">
      <c r="B225" s="122"/>
      <c r="R225" s="122"/>
      <c r="S225" s="49"/>
      <c r="T225" s="49"/>
      <c r="U225" s="4"/>
      <c r="V225" s="5"/>
      <c r="W225" s="3"/>
      <c r="X225" s="3"/>
      <c r="Y225" s="2"/>
      <c r="Z225" s="2"/>
      <c r="AA225" s="2"/>
      <c r="AB225" s="2"/>
      <c r="AC225" s="2"/>
      <c r="AD225" s="248"/>
      <c r="AE225" s="249"/>
      <c r="AF225" s="248"/>
      <c r="AG225" s="250"/>
      <c r="AH225" s="248"/>
    </row>
    <row r="226" spans="2:34" ht="15.5" x14ac:dyDescent="0.35">
      <c r="B226" s="122"/>
      <c r="R226" s="122"/>
      <c r="S226" s="49"/>
      <c r="T226" s="49"/>
      <c r="U226" s="4"/>
      <c r="V226" s="5"/>
      <c r="W226" s="3"/>
      <c r="X226" s="3"/>
      <c r="Y226" s="2"/>
      <c r="Z226" s="2"/>
      <c r="AA226" s="2"/>
      <c r="AB226" s="2"/>
      <c r="AC226" s="2"/>
      <c r="AD226" s="248"/>
      <c r="AE226" s="249"/>
      <c r="AF226" s="248"/>
      <c r="AG226" s="250"/>
      <c r="AH226" s="248"/>
    </row>
    <row r="227" spans="2:34" ht="15.5" x14ac:dyDescent="0.35">
      <c r="R227" s="122"/>
      <c r="S227" s="49"/>
      <c r="T227" s="49"/>
      <c r="U227" s="13"/>
      <c r="V227" s="14"/>
      <c r="W227" s="15"/>
      <c r="X227" s="16"/>
      <c r="Y227" s="1"/>
      <c r="Z227" s="2"/>
      <c r="AA227" s="2"/>
      <c r="AB227" s="38"/>
      <c r="AC227" s="38"/>
      <c r="AD227" s="248"/>
      <c r="AE227" s="251"/>
      <c r="AF227" s="248"/>
      <c r="AG227" s="248"/>
      <c r="AH227" s="248"/>
    </row>
    <row r="228" spans="2:34" ht="15.5" x14ac:dyDescent="0.35">
      <c r="R228" s="122"/>
      <c r="S228" s="49"/>
      <c r="T228" s="49"/>
      <c r="U228" s="4"/>
      <c r="V228" s="5"/>
      <c r="W228" s="3"/>
      <c r="X228" s="16"/>
      <c r="Y228" s="2"/>
      <c r="Z228" s="2"/>
      <c r="AA228" s="2"/>
      <c r="AB228" s="2"/>
      <c r="AC228" s="2"/>
      <c r="AD228" s="248"/>
      <c r="AE228" s="249"/>
      <c r="AF228" s="248"/>
      <c r="AG228" s="248"/>
      <c r="AH228" s="248"/>
    </row>
    <row r="229" spans="2:34" ht="15.5" x14ac:dyDescent="0.35">
      <c r="R229" s="122"/>
      <c r="S229" s="49"/>
      <c r="T229" s="49"/>
      <c r="U229" s="4"/>
      <c r="V229" s="5"/>
      <c r="W229" s="3"/>
      <c r="X229" s="3"/>
      <c r="Y229" s="2"/>
      <c r="Z229" s="2"/>
      <c r="AA229" s="2"/>
      <c r="AB229" s="2"/>
      <c r="AC229" s="2"/>
      <c r="AD229" s="248"/>
      <c r="AE229" s="249"/>
      <c r="AF229" s="248"/>
      <c r="AG229" s="250"/>
      <c r="AH229" s="248"/>
    </row>
    <row r="230" spans="2:34" ht="15.5" x14ac:dyDescent="0.35">
      <c r="R230" s="122"/>
      <c r="S230" s="49"/>
      <c r="T230" s="49"/>
      <c r="U230" s="13"/>
      <c r="V230" s="14"/>
      <c r="W230" s="15"/>
      <c r="X230" s="16"/>
      <c r="Y230" s="1"/>
      <c r="Z230" s="2"/>
      <c r="AA230" s="2"/>
      <c r="AB230" s="38"/>
      <c r="AC230" s="38"/>
      <c r="AD230" s="248"/>
      <c r="AE230" s="251"/>
      <c r="AF230" s="248"/>
      <c r="AG230" s="248"/>
      <c r="AH230" s="248"/>
    </row>
    <row r="231" spans="2:34" ht="15.5" x14ac:dyDescent="0.35">
      <c r="R231" s="122"/>
      <c r="S231" s="49"/>
      <c r="T231" s="49"/>
      <c r="U231" s="4"/>
      <c r="V231" s="5"/>
      <c r="W231" s="3"/>
      <c r="X231" s="3"/>
      <c r="Y231" s="2"/>
      <c r="Z231" s="2"/>
      <c r="AA231" s="2"/>
      <c r="AB231" s="2"/>
      <c r="AC231" s="2"/>
      <c r="AD231" s="248"/>
      <c r="AE231" s="249"/>
      <c r="AF231" s="248"/>
      <c r="AG231" s="250"/>
      <c r="AH231" s="248"/>
    </row>
    <row r="232" spans="2:34" ht="15.5" x14ac:dyDescent="0.35">
      <c r="R232" s="122"/>
      <c r="S232" s="49"/>
      <c r="T232" s="49"/>
      <c r="U232" s="4"/>
      <c r="V232" s="5"/>
      <c r="W232" s="3"/>
      <c r="X232" s="3"/>
      <c r="Y232" s="2"/>
      <c r="Z232" s="2"/>
      <c r="AA232" s="2"/>
      <c r="AB232" s="2"/>
      <c r="AC232" s="2"/>
      <c r="AD232" s="248"/>
      <c r="AE232" s="249"/>
      <c r="AF232" s="248"/>
      <c r="AG232" s="250"/>
      <c r="AH232" s="248"/>
    </row>
    <row r="233" spans="2:34" ht="15.5" x14ac:dyDescent="0.35">
      <c r="R233" s="122"/>
      <c r="S233" s="49"/>
      <c r="T233" s="49"/>
      <c r="U233" s="13"/>
      <c r="V233" s="14"/>
      <c r="W233" s="15"/>
      <c r="X233" s="16"/>
      <c r="Y233" s="1"/>
      <c r="Z233" s="2"/>
      <c r="AA233" s="2"/>
      <c r="AB233" s="38"/>
      <c r="AC233" s="38"/>
      <c r="AD233" s="248"/>
      <c r="AE233" s="251"/>
      <c r="AF233" s="248"/>
      <c r="AG233" s="248"/>
      <c r="AH233" s="248"/>
    </row>
    <row r="234" spans="2:34" ht="15.5" x14ac:dyDescent="0.35">
      <c r="R234" s="122"/>
      <c r="S234" s="49"/>
      <c r="T234" s="49"/>
      <c r="U234" s="4"/>
      <c r="V234" s="5"/>
      <c r="W234" s="3"/>
      <c r="X234" s="3"/>
      <c r="Y234" s="2"/>
      <c r="Z234" s="2"/>
      <c r="AA234" s="2"/>
      <c r="AB234" s="2"/>
      <c r="AC234" s="2"/>
      <c r="AD234" s="248"/>
      <c r="AE234" s="249"/>
      <c r="AF234" s="248"/>
      <c r="AG234" s="250"/>
      <c r="AH234" s="248"/>
    </row>
    <row r="235" spans="2:34" ht="15.5" x14ac:dyDescent="0.35">
      <c r="R235" s="122"/>
      <c r="S235" s="49"/>
      <c r="T235" s="49"/>
      <c r="U235" s="4"/>
      <c r="V235" s="5"/>
      <c r="W235" s="3"/>
      <c r="X235" s="3"/>
      <c r="Y235" s="2"/>
      <c r="Z235" s="2"/>
      <c r="AA235" s="2"/>
      <c r="AB235" s="2"/>
      <c r="AC235" s="2"/>
      <c r="AD235" s="248"/>
      <c r="AE235" s="249"/>
      <c r="AF235" s="248"/>
      <c r="AG235" s="250"/>
      <c r="AH235" s="248"/>
    </row>
    <row r="236" spans="2:34" ht="15.5" x14ac:dyDescent="0.35">
      <c r="R236" s="122"/>
      <c r="S236" s="49"/>
      <c r="T236" s="49"/>
      <c r="U236" s="4"/>
      <c r="V236" s="5"/>
      <c r="W236" s="3"/>
      <c r="X236" s="3"/>
      <c r="Y236" s="2"/>
      <c r="Z236" s="2"/>
      <c r="AA236" s="2"/>
      <c r="AB236" s="2"/>
      <c r="AC236" s="2"/>
      <c r="AD236" s="248"/>
      <c r="AE236" s="249"/>
      <c r="AF236" s="248"/>
      <c r="AG236" s="250"/>
      <c r="AH236" s="248"/>
    </row>
    <row r="237" spans="2:34" ht="15.5" x14ac:dyDescent="0.35">
      <c r="R237" s="122"/>
      <c r="S237" s="49"/>
      <c r="T237" s="49"/>
      <c r="U237" s="13"/>
      <c r="V237" s="14"/>
      <c r="W237" s="15"/>
      <c r="X237" s="16"/>
      <c r="Y237" s="1"/>
      <c r="Z237" s="2"/>
      <c r="AA237" s="2"/>
      <c r="AB237" s="38"/>
      <c r="AC237" s="38"/>
      <c r="AD237" s="248"/>
      <c r="AE237" s="251"/>
      <c r="AF237" s="248"/>
      <c r="AG237" s="248"/>
      <c r="AH237" s="248"/>
    </row>
    <row r="238" spans="2:34" ht="15.5" x14ac:dyDescent="0.35">
      <c r="R238" s="122"/>
      <c r="S238" s="49"/>
      <c r="T238" s="49"/>
      <c r="U238" s="4"/>
      <c r="V238" s="5"/>
      <c r="W238" s="3"/>
      <c r="X238" s="3"/>
      <c r="Y238" s="2"/>
      <c r="Z238" s="2"/>
      <c r="AA238" s="2"/>
      <c r="AB238" s="2"/>
      <c r="AC238" s="2"/>
      <c r="AD238" s="248"/>
      <c r="AE238" s="249"/>
      <c r="AF238" s="248"/>
      <c r="AG238" s="250"/>
      <c r="AH238" s="248"/>
    </row>
    <row r="239" spans="2:34" ht="15.5" x14ac:dyDescent="0.35">
      <c r="R239" s="122"/>
      <c r="S239" s="49"/>
      <c r="T239" s="49"/>
      <c r="U239" s="13"/>
      <c r="V239" s="14"/>
      <c r="W239" s="15"/>
      <c r="X239" s="16"/>
      <c r="Y239" s="1"/>
      <c r="Z239" s="2"/>
      <c r="AA239" s="2"/>
      <c r="AB239" s="38"/>
      <c r="AC239" s="38"/>
      <c r="AD239" s="248"/>
      <c r="AE239" s="251"/>
      <c r="AF239" s="248"/>
      <c r="AG239" s="248"/>
      <c r="AH239" s="248"/>
    </row>
    <row r="240" spans="2:34" ht="15.5" x14ac:dyDescent="0.35">
      <c r="R240" s="122"/>
      <c r="S240" s="49"/>
      <c r="T240" s="49"/>
      <c r="U240" s="13"/>
      <c r="V240" s="14"/>
      <c r="W240" s="15"/>
      <c r="X240" s="16"/>
      <c r="Y240" s="1"/>
      <c r="Z240" s="2"/>
      <c r="AA240" s="2"/>
      <c r="AB240" s="38"/>
      <c r="AC240" s="38"/>
      <c r="AD240" s="248"/>
      <c r="AE240" s="251"/>
      <c r="AF240" s="248"/>
      <c r="AG240" s="248"/>
      <c r="AH240" s="248"/>
    </row>
    <row r="241" spans="18:34" ht="15.5" x14ac:dyDescent="0.35">
      <c r="R241" s="122"/>
      <c r="S241" s="49"/>
      <c r="T241" s="49"/>
      <c r="U241" s="13"/>
      <c r="V241" s="14"/>
      <c r="W241" s="15"/>
      <c r="X241" s="16"/>
      <c r="Y241" s="1"/>
      <c r="Z241" s="2"/>
      <c r="AA241" s="2"/>
      <c r="AB241" s="38"/>
      <c r="AC241" s="38"/>
      <c r="AD241" s="248"/>
      <c r="AE241" s="251"/>
      <c r="AF241" s="248"/>
      <c r="AG241" s="248"/>
      <c r="AH241" s="248"/>
    </row>
    <row r="242" spans="18:34" ht="15.5" x14ac:dyDescent="0.35">
      <c r="R242" s="122"/>
      <c r="S242" s="49"/>
      <c r="T242" s="49"/>
      <c r="U242" s="13"/>
      <c r="V242" s="14"/>
      <c r="W242" s="15"/>
      <c r="X242" s="16"/>
      <c r="Y242" s="1"/>
      <c r="Z242" s="2"/>
      <c r="AA242" s="2"/>
      <c r="AB242" s="38"/>
      <c r="AC242" s="38"/>
      <c r="AD242" s="248"/>
      <c r="AE242" s="251"/>
      <c r="AF242" s="248"/>
      <c r="AG242" s="248"/>
      <c r="AH242" s="248"/>
    </row>
    <row r="243" spans="18:34" ht="15.5" x14ac:dyDescent="0.35">
      <c r="R243" s="122"/>
      <c r="S243" s="49"/>
      <c r="T243" s="49"/>
      <c r="U243" s="13"/>
      <c r="V243" s="14"/>
      <c r="W243" s="15"/>
      <c r="X243" s="16"/>
      <c r="Y243" s="1"/>
      <c r="Z243" s="2"/>
      <c r="AA243" s="2"/>
      <c r="AB243" s="38"/>
      <c r="AC243" s="38"/>
      <c r="AD243" s="248"/>
      <c r="AE243" s="251"/>
      <c r="AF243" s="248"/>
      <c r="AG243" s="248"/>
      <c r="AH243" s="248"/>
    </row>
    <row r="244" spans="18:34" ht="15.5" x14ac:dyDescent="0.35">
      <c r="R244" s="122"/>
      <c r="S244" s="49"/>
      <c r="T244" s="49"/>
      <c r="U244" s="13"/>
      <c r="V244" s="14"/>
      <c r="W244" s="15"/>
      <c r="X244" s="16"/>
      <c r="Y244" s="1"/>
      <c r="Z244" s="2"/>
      <c r="AA244" s="2"/>
      <c r="AB244" s="38"/>
      <c r="AC244" s="38"/>
      <c r="AD244" s="248"/>
      <c r="AE244" s="251"/>
      <c r="AF244" s="248"/>
      <c r="AG244" s="248"/>
      <c r="AH244" s="248"/>
    </row>
    <row r="245" spans="18:34" ht="15.5" x14ac:dyDescent="0.35">
      <c r="R245" s="122"/>
      <c r="S245" s="49"/>
      <c r="T245" s="49"/>
      <c r="U245" s="4"/>
      <c r="V245" s="5"/>
      <c r="W245" s="3"/>
      <c r="X245" s="3"/>
      <c r="Y245" s="2"/>
      <c r="Z245" s="2"/>
      <c r="AA245" s="2"/>
      <c r="AB245" s="2"/>
      <c r="AC245" s="2"/>
      <c r="AD245" s="248"/>
      <c r="AE245" s="249"/>
      <c r="AF245" s="248"/>
      <c r="AG245" s="248"/>
      <c r="AH245" s="248"/>
    </row>
    <row r="246" spans="18:34" ht="15.5" x14ac:dyDescent="0.35">
      <c r="R246" s="122"/>
      <c r="S246" s="49"/>
      <c r="T246" s="49"/>
      <c r="U246" s="4"/>
      <c r="V246" s="5"/>
      <c r="W246" s="3"/>
      <c r="X246" s="3"/>
      <c r="Y246" s="2"/>
      <c r="Z246" s="2"/>
      <c r="AA246" s="2"/>
      <c r="AB246" s="2"/>
      <c r="AC246" s="2"/>
      <c r="AD246" s="248"/>
      <c r="AE246" s="249"/>
      <c r="AF246" s="248"/>
      <c r="AG246" s="250"/>
      <c r="AH246" s="248"/>
    </row>
    <row r="247" spans="18:34" ht="15.5" x14ac:dyDescent="0.35">
      <c r="R247" s="122"/>
      <c r="S247" s="49"/>
      <c r="T247" s="49"/>
      <c r="U247" s="4"/>
      <c r="V247" s="5"/>
      <c r="W247" s="3"/>
      <c r="X247" s="3"/>
      <c r="Y247" s="2"/>
      <c r="Z247" s="2"/>
      <c r="AA247" s="2"/>
      <c r="AB247" s="2"/>
      <c r="AC247" s="2"/>
      <c r="AD247" s="248"/>
      <c r="AE247" s="249"/>
      <c r="AF247" s="248"/>
      <c r="AG247" s="250"/>
      <c r="AH247" s="248"/>
    </row>
    <row r="248" spans="18:34" ht="15.5" x14ac:dyDescent="0.35">
      <c r="R248" s="122"/>
      <c r="S248" s="49"/>
      <c r="T248" s="49"/>
      <c r="U248" s="4"/>
      <c r="V248" s="5"/>
      <c r="W248" s="3"/>
      <c r="X248" s="3"/>
      <c r="Y248" s="2"/>
      <c r="Z248" s="2"/>
      <c r="AA248" s="2"/>
      <c r="AB248" s="2"/>
      <c r="AC248" s="2"/>
      <c r="AD248" s="248"/>
      <c r="AE248" s="249"/>
      <c r="AF248" s="248"/>
      <c r="AG248" s="250"/>
      <c r="AH248" s="248"/>
    </row>
    <row r="249" spans="18:34" ht="15.5" x14ac:dyDescent="0.35">
      <c r="R249" s="122"/>
      <c r="S249" s="49"/>
      <c r="T249" s="49"/>
      <c r="U249" s="4"/>
      <c r="V249" s="5"/>
      <c r="W249" s="3"/>
      <c r="X249" s="3"/>
      <c r="Y249" s="2"/>
      <c r="Z249" s="2"/>
      <c r="AA249" s="2"/>
      <c r="AB249" s="2"/>
      <c r="AC249" s="2"/>
      <c r="AD249" s="248"/>
      <c r="AE249" s="249"/>
      <c r="AF249" s="248"/>
      <c r="AG249" s="250"/>
      <c r="AH249" s="248"/>
    </row>
    <row r="250" spans="18:34" ht="15.5" x14ac:dyDescent="0.35">
      <c r="R250" s="122"/>
      <c r="S250" s="49"/>
      <c r="T250" s="49"/>
      <c r="U250" s="4"/>
      <c r="V250" s="5"/>
      <c r="W250" s="3"/>
      <c r="X250" s="3"/>
      <c r="Y250" s="2"/>
      <c r="Z250" s="2"/>
      <c r="AA250" s="2"/>
      <c r="AB250" s="2"/>
      <c r="AC250" s="2"/>
      <c r="AD250" s="248"/>
      <c r="AE250" s="249"/>
      <c r="AF250" s="248"/>
      <c r="AG250" s="250"/>
      <c r="AH250" s="248"/>
    </row>
    <row r="251" spans="18:34" ht="15.5" x14ac:dyDescent="0.35">
      <c r="R251" s="122"/>
      <c r="S251" s="49"/>
      <c r="T251" s="49"/>
      <c r="U251" s="4"/>
      <c r="V251" s="5"/>
      <c r="W251" s="3"/>
      <c r="X251" s="3"/>
      <c r="Y251" s="2"/>
      <c r="Z251" s="2"/>
      <c r="AA251" s="2"/>
      <c r="AB251" s="2"/>
      <c r="AC251" s="2"/>
      <c r="AD251" s="248"/>
      <c r="AE251" s="249"/>
      <c r="AF251" s="248"/>
      <c r="AG251" s="250"/>
      <c r="AH251" s="248"/>
    </row>
    <row r="252" spans="18:34" ht="15.5" x14ac:dyDescent="0.35">
      <c r="R252" s="122"/>
      <c r="S252" s="49"/>
      <c r="T252" s="49"/>
      <c r="U252" s="4"/>
      <c r="V252" s="5"/>
      <c r="W252" s="3"/>
      <c r="X252" s="3"/>
      <c r="Y252" s="2"/>
      <c r="Z252" s="2"/>
      <c r="AA252" s="2"/>
      <c r="AB252" s="2"/>
      <c r="AC252" s="2"/>
      <c r="AD252" s="248"/>
      <c r="AE252" s="249"/>
      <c r="AF252" s="248"/>
      <c r="AG252" s="248"/>
      <c r="AH252" s="248"/>
    </row>
    <row r="253" spans="18:34" ht="15.5" x14ac:dyDescent="0.35">
      <c r="R253" s="122"/>
      <c r="S253" s="49"/>
      <c r="T253" s="49"/>
      <c r="U253" s="4"/>
      <c r="V253" s="5"/>
      <c r="W253" s="3"/>
      <c r="X253" s="3"/>
      <c r="Y253" s="2"/>
      <c r="Z253" s="2"/>
      <c r="AA253" s="2"/>
      <c r="AB253" s="2"/>
      <c r="AC253" s="2"/>
      <c r="AD253" s="248"/>
      <c r="AE253" s="249"/>
      <c r="AF253" s="248"/>
      <c r="AG253" s="250"/>
      <c r="AH253" s="248"/>
    </row>
    <row r="254" spans="18:34" ht="15.5" x14ac:dyDescent="0.35">
      <c r="R254" s="122"/>
      <c r="S254" s="49"/>
      <c r="T254" s="49"/>
      <c r="U254" s="4"/>
      <c r="V254" s="5"/>
      <c r="W254" s="3"/>
      <c r="X254" s="3"/>
      <c r="Y254" s="2"/>
      <c r="Z254" s="2"/>
      <c r="AA254" s="2"/>
      <c r="AB254" s="2"/>
      <c r="AC254" s="2"/>
      <c r="AD254" s="248"/>
      <c r="AE254" s="249"/>
      <c r="AF254" s="248"/>
      <c r="AG254" s="250"/>
      <c r="AH254" s="248"/>
    </row>
    <row r="255" spans="18:34" ht="15.5" x14ac:dyDescent="0.35">
      <c r="R255" s="122"/>
      <c r="S255" s="49"/>
      <c r="T255" s="49"/>
      <c r="U255" s="4"/>
      <c r="V255" s="5"/>
      <c r="W255" s="3"/>
      <c r="X255" s="3"/>
      <c r="Y255" s="2"/>
      <c r="Z255" s="2"/>
      <c r="AA255" s="2"/>
      <c r="AB255" s="2"/>
      <c r="AC255" s="2"/>
      <c r="AD255" s="248"/>
      <c r="AE255" s="249"/>
      <c r="AF255" s="248"/>
      <c r="AG255" s="250"/>
      <c r="AH255" s="248"/>
    </row>
    <row r="256" spans="18:34" ht="15.5" x14ac:dyDescent="0.35">
      <c r="R256" s="122"/>
      <c r="S256" s="49"/>
      <c r="T256" s="49"/>
      <c r="U256" s="4"/>
      <c r="V256" s="5"/>
      <c r="W256" s="3"/>
      <c r="X256" s="3"/>
      <c r="Y256" s="2"/>
      <c r="Z256" s="2"/>
      <c r="AA256" s="2"/>
      <c r="AB256" s="2"/>
      <c r="AC256" s="2"/>
      <c r="AD256" s="248"/>
      <c r="AE256" s="249"/>
      <c r="AF256" s="248"/>
      <c r="AG256" s="250"/>
      <c r="AH256" s="248"/>
    </row>
    <row r="257" spans="18:34" ht="15.5" x14ac:dyDescent="0.35">
      <c r="R257" s="122"/>
      <c r="S257" s="49"/>
      <c r="T257" s="49"/>
      <c r="U257" s="4"/>
      <c r="V257" s="5"/>
      <c r="W257" s="3"/>
      <c r="X257" s="3"/>
      <c r="Y257" s="2"/>
      <c r="Z257" s="2"/>
      <c r="AA257" s="2"/>
      <c r="AB257" s="2"/>
      <c r="AC257" s="2"/>
      <c r="AD257" s="248"/>
      <c r="AE257" s="249"/>
      <c r="AF257" s="248"/>
      <c r="AG257" s="250"/>
      <c r="AH257" s="248"/>
    </row>
    <row r="258" spans="18:34" ht="15.5" x14ac:dyDescent="0.35">
      <c r="R258" s="122"/>
      <c r="S258" s="49"/>
      <c r="T258" s="49"/>
      <c r="U258" s="4"/>
      <c r="V258" s="5"/>
      <c r="W258" s="3"/>
      <c r="X258" s="3"/>
      <c r="Y258" s="2"/>
      <c r="Z258" s="2"/>
      <c r="AA258" s="2"/>
      <c r="AB258" s="2"/>
      <c r="AC258" s="2"/>
      <c r="AD258" s="248"/>
      <c r="AE258" s="249"/>
      <c r="AF258" s="248"/>
      <c r="AG258" s="250"/>
      <c r="AH258" s="248"/>
    </row>
    <row r="259" spans="18:34" ht="15.5" x14ac:dyDescent="0.35">
      <c r="R259" s="122"/>
      <c r="S259" s="49"/>
      <c r="T259" s="49"/>
      <c r="U259" s="13"/>
      <c r="V259" s="14"/>
      <c r="W259" s="15"/>
      <c r="X259" s="16"/>
      <c r="Y259" s="1"/>
      <c r="Z259" s="2"/>
      <c r="AA259" s="2"/>
      <c r="AB259" s="38"/>
      <c r="AC259" s="38"/>
      <c r="AD259" s="248"/>
      <c r="AE259" s="251"/>
      <c r="AF259" s="248"/>
      <c r="AG259" s="248"/>
      <c r="AH259" s="248"/>
    </row>
    <row r="260" spans="18:34" ht="15.5" x14ac:dyDescent="0.35">
      <c r="R260" s="122"/>
      <c r="S260" s="49"/>
      <c r="T260" s="49"/>
      <c r="U260" s="4"/>
      <c r="V260" s="5"/>
      <c r="W260" s="3"/>
      <c r="X260" s="3"/>
      <c r="Y260" s="2"/>
      <c r="Z260" s="2"/>
      <c r="AA260" s="2"/>
      <c r="AB260" s="2"/>
      <c r="AC260" s="2"/>
      <c r="AD260" s="248"/>
      <c r="AE260" s="249"/>
      <c r="AF260" s="248"/>
      <c r="AG260" s="250"/>
      <c r="AH260" s="248"/>
    </row>
    <row r="261" spans="18:34" ht="15.5" x14ac:dyDescent="0.35">
      <c r="R261" s="122"/>
      <c r="S261" s="49"/>
      <c r="T261" s="49"/>
      <c r="U261" s="4"/>
      <c r="V261" s="5"/>
      <c r="W261" s="3"/>
      <c r="X261" s="3"/>
      <c r="Y261" s="2"/>
      <c r="Z261" s="2"/>
      <c r="AA261" s="2"/>
      <c r="AB261" s="2"/>
      <c r="AC261" s="2"/>
      <c r="AD261" s="248"/>
      <c r="AE261" s="249"/>
      <c r="AF261" s="248"/>
      <c r="AG261" s="250"/>
      <c r="AH261" s="248"/>
    </row>
    <row r="262" spans="18:34" ht="15.5" x14ac:dyDescent="0.35">
      <c r="R262" s="122"/>
      <c r="S262" s="49"/>
      <c r="T262" s="49"/>
      <c r="U262" s="4"/>
      <c r="V262" s="5"/>
      <c r="W262" s="3"/>
      <c r="X262" s="3"/>
      <c r="Y262" s="2"/>
      <c r="Z262" s="2"/>
      <c r="AA262" s="2"/>
      <c r="AB262" s="2"/>
      <c r="AC262" s="2"/>
      <c r="AD262" s="248"/>
      <c r="AE262" s="249"/>
      <c r="AF262" s="248"/>
      <c r="AG262" s="250"/>
      <c r="AH262" s="248"/>
    </row>
    <row r="263" spans="18:34" ht="15.5" x14ac:dyDescent="0.35">
      <c r="R263" s="122"/>
      <c r="S263" s="49"/>
      <c r="T263" s="49"/>
      <c r="U263" s="4"/>
      <c r="V263" s="5"/>
      <c r="W263" s="3"/>
      <c r="X263" s="3"/>
      <c r="Y263" s="2"/>
      <c r="Z263" s="2"/>
      <c r="AA263" s="2"/>
      <c r="AB263" s="2"/>
      <c r="AC263" s="2"/>
      <c r="AD263" s="248"/>
      <c r="AE263" s="249"/>
      <c r="AF263" s="248"/>
      <c r="AG263" s="250"/>
      <c r="AH263" s="248"/>
    </row>
    <row r="264" spans="18:34" ht="15.5" x14ac:dyDescent="0.35">
      <c r="R264" s="122"/>
      <c r="S264" s="49"/>
      <c r="T264" s="49"/>
      <c r="U264" s="4"/>
      <c r="V264" s="5"/>
      <c r="W264" s="3"/>
      <c r="X264" s="3"/>
      <c r="Y264" s="2"/>
      <c r="Z264" s="2"/>
      <c r="AA264" s="2"/>
      <c r="AB264" s="2"/>
      <c r="AC264" s="2"/>
      <c r="AD264" s="248"/>
      <c r="AE264" s="249"/>
      <c r="AF264" s="248"/>
      <c r="AG264" s="250"/>
      <c r="AH264" s="248"/>
    </row>
    <row r="265" spans="18:34" ht="15.5" x14ac:dyDescent="0.35">
      <c r="R265" s="122"/>
      <c r="S265" s="49"/>
      <c r="T265" s="49"/>
      <c r="U265" s="4"/>
      <c r="V265" s="5"/>
      <c r="W265" s="3"/>
      <c r="X265" s="3"/>
      <c r="Y265" s="2"/>
      <c r="Z265" s="2"/>
      <c r="AA265" s="2"/>
      <c r="AB265" s="2"/>
      <c r="AC265" s="2"/>
      <c r="AD265" s="248"/>
      <c r="AE265" s="249"/>
      <c r="AF265" s="248"/>
      <c r="AG265" s="250"/>
      <c r="AH265" s="248"/>
    </row>
    <row r="266" spans="18:34" ht="15.5" x14ac:dyDescent="0.35">
      <c r="R266" s="122"/>
      <c r="S266" s="49"/>
      <c r="T266" s="49"/>
      <c r="U266" s="4"/>
      <c r="V266" s="5"/>
      <c r="W266" s="3"/>
      <c r="X266" s="3"/>
      <c r="Y266" s="2"/>
      <c r="Z266" s="2"/>
      <c r="AA266" s="2"/>
      <c r="AB266" s="2"/>
      <c r="AC266" s="2"/>
      <c r="AD266" s="248"/>
      <c r="AE266" s="249"/>
      <c r="AF266" s="248"/>
      <c r="AG266" s="250"/>
      <c r="AH266" s="248"/>
    </row>
    <row r="267" spans="18:34" ht="15.5" x14ac:dyDescent="0.35">
      <c r="R267" s="122"/>
      <c r="S267" s="49"/>
      <c r="T267" s="49"/>
      <c r="U267" s="4"/>
      <c r="V267" s="5"/>
      <c r="W267" s="3"/>
      <c r="X267" s="3"/>
      <c r="Y267" s="2"/>
      <c r="Z267" s="2"/>
      <c r="AA267" s="2"/>
      <c r="AB267" s="2"/>
      <c r="AC267" s="2"/>
      <c r="AD267" s="248"/>
      <c r="AE267" s="249"/>
      <c r="AF267" s="248"/>
      <c r="AG267" s="250"/>
      <c r="AH267" s="248"/>
    </row>
    <row r="268" spans="18:34" ht="15.5" x14ac:dyDescent="0.35">
      <c r="R268" s="122"/>
      <c r="S268" s="49"/>
      <c r="T268" s="49"/>
      <c r="U268" s="4"/>
      <c r="V268" s="5"/>
      <c r="W268" s="3"/>
      <c r="X268" s="3"/>
      <c r="Y268" s="2"/>
      <c r="Z268" s="2"/>
      <c r="AA268" s="2"/>
      <c r="AB268" s="2"/>
      <c r="AC268" s="2"/>
      <c r="AD268" s="248"/>
      <c r="AE268" s="249"/>
      <c r="AF268" s="248"/>
      <c r="AG268" s="250"/>
      <c r="AH268" s="248"/>
    </row>
    <row r="269" spans="18:34" ht="15.5" x14ac:dyDescent="0.35">
      <c r="R269" s="122"/>
      <c r="S269" s="49"/>
      <c r="T269" s="49"/>
      <c r="U269" s="4"/>
      <c r="V269" s="5"/>
      <c r="W269" s="3"/>
      <c r="X269" s="3"/>
      <c r="Y269" s="2"/>
      <c r="Z269" s="2"/>
      <c r="AA269" s="2"/>
      <c r="AB269" s="2"/>
      <c r="AC269" s="2"/>
      <c r="AD269" s="248"/>
      <c r="AE269" s="249"/>
      <c r="AF269" s="248"/>
      <c r="AG269" s="250"/>
      <c r="AH269" s="248"/>
    </row>
    <row r="270" spans="18:34" ht="15.5" x14ac:dyDescent="0.35">
      <c r="R270" s="122"/>
      <c r="S270" s="49"/>
      <c r="T270" s="49"/>
      <c r="U270" s="13"/>
      <c r="V270" s="14"/>
      <c r="W270" s="15"/>
      <c r="X270" s="16"/>
      <c r="Y270" s="1"/>
      <c r="Z270" s="2"/>
      <c r="AA270" s="2"/>
      <c r="AB270" s="38"/>
      <c r="AC270" s="38"/>
      <c r="AD270" s="248"/>
      <c r="AE270" s="251"/>
      <c r="AF270" s="248"/>
      <c r="AG270" s="248"/>
      <c r="AH270" s="248"/>
    </row>
    <row r="271" spans="18:34" ht="15.5" x14ac:dyDescent="0.35">
      <c r="R271" s="122"/>
      <c r="S271" s="49"/>
      <c r="T271" s="49"/>
      <c r="U271" s="13"/>
      <c r="V271" s="14"/>
      <c r="W271" s="15"/>
      <c r="X271" s="16"/>
      <c r="Y271" s="1"/>
      <c r="Z271" s="2"/>
      <c r="AA271" s="2"/>
      <c r="AB271" s="38"/>
      <c r="AC271" s="38"/>
      <c r="AD271" s="248"/>
      <c r="AE271" s="251"/>
      <c r="AF271" s="248"/>
      <c r="AG271" s="248"/>
      <c r="AH271" s="248"/>
    </row>
    <row r="272" spans="18:34" ht="15.5" x14ac:dyDescent="0.35">
      <c r="R272" s="122"/>
      <c r="S272" s="49"/>
      <c r="T272" s="49"/>
      <c r="U272" s="13"/>
      <c r="V272" s="14"/>
      <c r="W272" s="15"/>
      <c r="X272" s="16"/>
      <c r="Y272" s="1"/>
      <c r="Z272" s="2"/>
      <c r="AA272" s="2"/>
      <c r="AB272" s="38"/>
      <c r="AC272" s="38"/>
      <c r="AD272" s="248"/>
      <c r="AE272" s="251"/>
      <c r="AF272" s="248"/>
      <c r="AG272" s="248"/>
      <c r="AH272" s="248"/>
    </row>
    <row r="273" spans="18:34" ht="15.5" x14ac:dyDescent="0.35">
      <c r="R273" s="122"/>
      <c r="S273" s="49"/>
      <c r="T273" s="49"/>
      <c r="U273" s="13"/>
      <c r="V273" s="14"/>
      <c r="W273" s="15"/>
      <c r="X273" s="16"/>
      <c r="Y273" s="1"/>
      <c r="Z273" s="2"/>
      <c r="AA273" s="2"/>
      <c r="AB273" s="38"/>
      <c r="AC273" s="38"/>
      <c r="AD273" s="248"/>
      <c r="AE273" s="251"/>
      <c r="AF273" s="248"/>
      <c r="AG273" s="248"/>
      <c r="AH273" s="248"/>
    </row>
    <row r="274" spans="18:34" ht="15.5" x14ac:dyDescent="0.35">
      <c r="R274" s="122"/>
      <c r="S274" s="49"/>
      <c r="T274" s="49"/>
      <c r="U274" s="42"/>
      <c r="V274" s="5"/>
      <c r="W274" s="3"/>
      <c r="X274" s="43"/>
      <c r="Y274" s="1"/>
      <c r="Z274" s="2"/>
      <c r="AA274" s="2"/>
      <c r="AB274" s="38"/>
      <c r="AC274" s="38"/>
      <c r="AD274" s="248"/>
      <c r="AE274" s="251"/>
      <c r="AF274" s="248"/>
      <c r="AG274" s="248"/>
      <c r="AH274" s="248"/>
    </row>
    <row r="275" spans="18:34" ht="15.5" x14ac:dyDescent="0.35">
      <c r="R275" s="122"/>
      <c r="S275" s="49"/>
      <c r="T275" s="49"/>
      <c r="U275" s="13"/>
      <c r="V275" s="14"/>
      <c r="W275" s="15"/>
      <c r="X275" s="16"/>
      <c r="Y275" s="1"/>
      <c r="Z275" s="2"/>
      <c r="AA275" s="2"/>
      <c r="AB275" s="38"/>
      <c r="AC275" s="38"/>
      <c r="AD275" s="248"/>
      <c r="AE275" s="251"/>
      <c r="AF275" s="248"/>
      <c r="AG275" s="248"/>
      <c r="AH275" s="248"/>
    </row>
    <row r="276" spans="18:34" ht="15.5" x14ac:dyDescent="0.35">
      <c r="R276" s="122"/>
      <c r="S276" s="49"/>
      <c r="T276" s="49"/>
      <c r="U276" s="13"/>
      <c r="V276" s="14"/>
      <c r="W276" s="15"/>
      <c r="X276" s="16"/>
      <c r="Y276" s="1"/>
      <c r="Z276" s="2"/>
      <c r="AA276" s="2"/>
      <c r="AB276" s="38"/>
      <c r="AC276" s="38"/>
      <c r="AD276" s="248"/>
      <c r="AE276" s="251"/>
      <c r="AF276" s="248"/>
      <c r="AG276" s="248"/>
      <c r="AH276" s="248"/>
    </row>
    <row r="277" spans="18:34" ht="15.5" x14ac:dyDescent="0.35">
      <c r="R277" s="122"/>
      <c r="S277" s="49"/>
      <c r="T277" s="49"/>
      <c r="U277" s="4"/>
      <c r="V277" s="5"/>
      <c r="W277" s="3"/>
      <c r="X277" s="3"/>
      <c r="Y277" s="2"/>
      <c r="Z277" s="2"/>
      <c r="AA277" s="2"/>
      <c r="AB277" s="2"/>
      <c r="AC277" s="2"/>
      <c r="AD277" s="248"/>
      <c r="AE277" s="249"/>
      <c r="AF277" s="248"/>
      <c r="AG277" s="250"/>
      <c r="AH277" s="248"/>
    </row>
    <row r="278" spans="18:34" ht="15.5" x14ac:dyDescent="0.35">
      <c r="R278" s="122"/>
      <c r="S278" s="49"/>
      <c r="T278" s="49"/>
      <c r="U278" s="13"/>
      <c r="V278" s="14"/>
      <c r="W278" s="15"/>
      <c r="X278" s="16"/>
      <c r="Y278" s="1"/>
      <c r="Z278" s="2"/>
      <c r="AA278" s="2"/>
      <c r="AB278" s="38"/>
      <c r="AC278" s="38"/>
      <c r="AD278" s="248"/>
      <c r="AE278" s="251"/>
      <c r="AF278" s="248"/>
      <c r="AG278" s="248"/>
      <c r="AH278" s="248"/>
    </row>
    <row r="279" spans="18:34" ht="15.5" x14ac:dyDescent="0.35">
      <c r="R279" s="122"/>
      <c r="S279" s="49"/>
      <c r="T279" s="49"/>
      <c r="U279" s="13"/>
      <c r="V279" s="14"/>
      <c r="W279" s="15"/>
      <c r="X279" s="16"/>
      <c r="Y279" s="1"/>
      <c r="Z279" s="2"/>
      <c r="AA279" s="2"/>
      <c r="AB279" s="38"/>
      <c r="AC279" s="38"/>
      <c r="AD279" s="248"/>
      <c r="AE279" s="251"/>
      <c r="AF279" s="248"/>
      <c r="AG279" s="248"/>
      <c r="AH279" s="248"/>
    </row>
    <row r="280" spans="18:34" ht="15.5" x14ac:dyDescent="0.35">
      <c r="R280" s="122"/>
      <c r="S280" s="49"/>
      <c r="T280" s="51"/>
      <c r="U280" s="32"/>
      <c r="V280" s="33"/>
      <c r="W280" s="3"/>
      <c r="X280" s="17"/>
      <c r="Y280" s="34"/>
      <c r="Z280" s="23"/>
      <c r="AA280" s="23"/>
      <c r="AB280" s="2"/>
      <c r="AC280" s="2"/>
      <c r="AD280" s="248"/>
      <c r="AE280" s="251"/>
      <c r="AF280" s="248"/>
      <c r="AG280" s="248"/>
      <c r="AH280" s="248"/>
    </row>
    <row r="281" spans="18:34" ht="15.5" x14ac:dyDescent="0.35">
      <c r="R281" s="122"/>
      <c r="S281" s="49"/>
      <c r="T281" s="50"/>
      <c r="U281" s="24"/>
      <c r="V281" s="25"/>
      <c r="W281" s="15"/>
      <c r="X281" s="17"/>
      <c r="Y281" s="20"/>
      <c r="Z281" s="23"/>
      <c r="AA281" s="23"/>
      <c r="AB281" s="2"/>
      <c r="AC281" s="2"/>
      <c r="AD281" s="248"/>
      <c r="AE281" s="251"/>
      <c r="AF281" s="248"/>
      <c r="AG281" s="248"/>
      <c r="AH281" s="248"/>
    </row>
    <row r="282" spans="18:34" ht="15.5" x14ac:dyDescent="0.35">
      <c r="R282" s="122"/>
      <c r="S282" s="49"/>
      <c r="T282" s="50"/>
      <c r="U282" s="24"/>
      <c r="V282" s="25"/>
      <c r="W282" s="26"/>
      <c r="X282" s="17"/>
      <c r="Y282" s="20"/>
      <c r="Z282" s="23"/>
      <c r="AA282" s="23"/>
      <c r="AB282" s="2"/>
      <c r="AC282" s="2"/>
      <c r="AD282" s="248"/>
      <c r="AE282" s="251"/>
      <c r="AF282" s="248"/>
      <c r="AG282" s="248"/>
      <c r="AH282" s="248"/>
    </row>
    <row r="283" spans="18:34" ht="15.5" x14ac:dyDescent="0.35">
      <c r="R283" s="122"/>
      <c r="S283" s="49"/>
      <c r="T283" s="51"/>
      <c r="U283" s="35"/>
      <c r="V283" s="36"/>
      <c r="W283" s="26"/>
      <c r="X283" s="17"/>
      <c r="Y283" s="31"/>
      <c r="Z283" s="23"/>
      <c r="AA283" s="23"/>
      <c r="AB283" s="2"/>
      <c r="AC283" s="2"/>
      <c r="AD283" s="248"/>
      <c r="AE283" s="251"/>
      <c r="AF283" s="248"/>
      <c r="AG283" s="248"/>
      <c r="AH283" s="248"/>
    </row>
    <row r="284" spans="18:34" ht="15.5" x14ac:dyDescent="0.35">
      <c r="R284" s="122"/>
      <c r="S284" s="49"/>
      <c r="T284" s="50"/>
      <c r="U284" s="21"/>
      <c r="V284" s="22"/>
      <c r="W284" s="26"/>
      <c r="X284" s="17"/>
      <c r="Y284" s="23"/>
      <c r="Z284" s="23"/>
      <c r="AA284" s="23"/>
      <c r="AB284" s="2"/>
      <c r="AC284" s="2"/>
      <c r="AD284" s="248"/>
      <c r="AE284" s="251"/>
      <c r="AF284" s="248"/>
      <c r="AG284" s="248"/>
      <c r="AH284" s="248"/>
    </row>
    <row r="285" spans="18:34" ht="15.5" x14ac:dyDescent="0.35">
      <c r="R285" s="122"/>
      <c r="S285" s="49"/>
      <c r="T285" s="50"/>
      <c r="U285" s="21"/>
      <c r="V285" s="22"/>
      <c r="W285" s="26"/>
      <c r="X285" s="17"/>
      <c r="Y285" s="23"/>
      <c r="Z285" s="23"/>
      <c r="AA285" s="23"/>
      <c r="AB285" s="2"/>
      <c r="AC285" s="2"/>
      <c r="AD285" s="248"/>
      <c r="AE285" s="251"/>
      <c r="AF285" s="248"/>
      <c r="AG285" s="248"/>
      <c r="AH285" s="248"/>
    </row>
    <row r="286" spans="18:34" ht="15.5" x14ac:dyDescent="0.35">
      <c r="R286" s="122"/>
      <c r="S286" s="49"/>
      <c r="T286" s="50"/>
      <c r="U286" s="21"/>
      <c r="V286" s="22"/>
      <c r="W286" s="3"/>
      <c r="X286" s="17"/>
      <c r="Y286" s="23"/>
      <c r="Z286" s="23"/>
      <c r="AA286" s="23"/>
      <c r="AB286" s="2"/>
      <c r="AC286" s="2"/>
      <c r="AD286" s="248"/>
      <c r="AE286" s="251"/>
      <c r="AF286" s="248"/>
      <c r="AG286" s="248"/>
      <c r="AH286" s="248"/>
    </row>
    <row r="287" spans="18:34" ht="15.5" x14ac:dyDescent="0.35">
      <c r="R287" s="122"/>
      <c r="S287" s="49"/>
      <c r="T287" s="50"/>
      <c r="U287" s="24"/>
      <c r="V287" s="25"/>
      <c r="W287" s="3"/>
      <c r="X287" s="17"/>
      <c r="Y287" s="20"/>
      <c r="Z287" s="23"/>
      <c r="AA287" s="23"/>
      <c r="AB287" s="2"/>
      <c r="AC287" s="2"/>
      <c r="AD287" s="248"/>
      <c r="AE287" s="251"/>
      <c r="AF287" s="248"/>
      <c r="AG287" s="248"/>
      <c r="AH287" s="248"/>
    </row>
    <row r="288" spans="18:34" ht="15.5" x14ac:dyDescent="0.35">
      <c r="R288" s="122"/>
      <c r="S288" s="49"/>
      <c r="T288" s="50"/>
      <c r="U288" s="21"/>
      <c r="V288" s="22"/>
      <c r="W288" s="3"/>
      <c r="X288" s="17"/>
      <c r="Y288" s="23"/>
      <c r="Z288" s="23"/>
      <c r="AA288" s="23"/>
      <c r="AB288" s="2"/>
      <c r="AC288" s="2"/>
      <c r="AD288" s="248"/>
      <c r="AE288" s="251"/>
      <c r="AF288" s="248"/>
      <c r="AG288" s="248"/>
      <c r="AH288" s="248"/>
    </row>
    <row r="289" spans="18:34" ht="15.5" x14ac:dyDescent="0.35">
      <c r="R289" s="122"/>
      <c r="S289" s="49"/>
      <c r="T289" s="50"/>
      <c r="U289" s="24"/>
      <c r="V289" s="25"/>
      <c r="W289" s="3"/>
      <c r="X289" s="17"/>
      <c r="Y289" s="20"/>
      <c r="Z289" s="23"/>
      <c r="AA289" s="23"/>
      <c r="AB289" s="2"/>
      <c r="AC289" s="2"/>
      <c r="AD289" s="248"/>
      <c r="AE289" s="251"/>
      <c r="AF289" s="248"/>
      <c r="AG289" s="248"/>
      <c r="AH289" s="248"/>
    </row>
    <row r="290" spans="18:34" ht="15.5" x14ac:dyDescent="0.35">
      <c r="R290" s="122"/>
      <c r="S290" s="49"/>
      <c r="T290" s="50"/>
      <c r="U290" s="21"/>
      <c r="V290" s="22"/>
      <c r="W290" s="26"/>
      <c r="X290" s="17"/>
      <c r="Y290" s="23"/>
      <c r="Z290" s="23"/>
      <c r="AA290" s="23"/>
      <c r="AB290" s="2"/>
      <c r="AC290" s="2"/>
      <c r="AD290" s="248"/>
      <c r="AE290" s="251"/>
      <c r="AF290" s="248"/>
      <c r="AG290" s="248"/>
      <c r="AH290" s="248"/>
    </row>
    <row r="291" spans="18:34" ht="15.5" x14ac:dyDescent="0.35">
      <c r="R291" s="122"/>
      <c r="S291" s="49"/>
      <c r="T291" s="50"/>
      <c r="U291" s="21"/>
      <c r="V291" s="22"/>
      <c r="W291" s="3"/>
      <c r="X291" s="17"/>
      <c r="Y291" s="23"/>
      <c r="Z291" s="23"/>
      <c r="AA291" s="23"/>
      <c r="AB291" s="2"/>
      <c r="AC291" s="2"/>
      <c r="AD291" s="248"/>
      <c r="AE291" s="251"/>
      <c r="AF291" s="248"/>
      <c r="AG291" s="248"/>
      <c r="AH291" s="248"/>
    </row>
    <row r="292" spans="18:34" ht="15.5" x14ac:dyDescent="0.35">
      <c r="R292" s="122"/>
      <c r="S292" s="49"/>
      <c r="T292" s="50"/>
      <c r="U292" s="21"/>
      <c r="V292" s="22"/>
      <c r="W292" s="26"/>
      <c r="X292" s="17"/>
      <c r="Y292" s="23"/>
      <c r="Z292" s="23"/>
      <c r="AA292" s="23"/>
      <c r="AB292" s="2"/>
      <c r="AC292" s="2"/>
      <c r="AD292" s="248"/>
      <c r="AE292" s="251"/>
      <c r="AF292" s="248"/>
      <c r="AG292" s="248"/>
      <c r="AH292" s="248"/>
    </row>
    <row r="293" spans="18:34" ht="15.5" x14ac:dyDescent="0.35">
      <c r="R293" s="122"/>
      <c r="S293" s="49"/>
      <c r="T293" s="50"/>
      <c r="U293" s="21"/>
      <c r="V293" s="22"/>
      <c r="W293" s="26"/>
      <c r="X293" s="17"/>
      <c r="Y293" s="23"/>
      <c r="Z293" s="23"/>
      <c r="AA293" s="23"/>
      <c r="AB293" s="2"/>
      <c r="AC293" s="2"/>
      <c r="AD293" s="248"/>
      <c r="AE293" s="251"/>
      <c r="AF293" s="248"/>
      <c r="AG293" s="248"/>
      <c r="AH293" s="248"/>
    </row>
    <row r="294" spans="18:34" ht="15.5" x14ac:dyDescent="0.35">
      <c r="R294" s="122"/>
      <c r="S294" s="49"/>
      <c r="T294" s="51"/>
      <c r="U294" s="32"/>
      <c r="V294" s="33"/>
      <c r="W294" s="26"/>
      <c r="X294" s="17"/>
      <c r="Y294" s="34"/>
      <c r="Z294" s="23"/>
      <c r="AA294" s="23"/>
      <c r="AB294" s="2"/>
      <c r="AC294" s="2"/>
      <c r="AD294" s="248"/>
      <c r="AE294" s="251"/>
      <c r="AF294" s="248"/>
      <c r="AG294" s="248"/>
      <c r="AH294" s="248"/>
    </row>
    <row r="295" spans="18:34" ht="15.5" x14ac:dyDescent="0.35">
      <c r="R295" s="122"/>
      <c r="S295" s="49"/>
      <c r="T295" s="50"/>
      <c r="U295" s="21"/>
      <c r="V295" s="22"/>
      <c r="W295" s="26"/>
      <c r="X295" s="17"/>
      <c r="Y295" s="23"/>
      <c r="Z295" s="23"/>
      <c r="AA295" s="23"/>
      <c r="AB295" s="2"/>
      <c r="AC295" s="2"/>
      <c r="AD295" s="248"/>
      <c r="AE295" s="251"/>
      <c r="AF295" s="248"/>
      <c r="AG295" s="248"/>
      <c r="AH295" s="248"/>
    </row>
    <row r="296" spans="18:34" ht="15.5" x14ac:dyDescent="0.35">
      <c r="R296" s="122"/>
      <c r="S296" s="49"/>
      <c r="T296" s="50"/>
      <c r="U296" s="21"/>
      <c r="V296" s="22"/>
      <c r="W296" s="3"/>
      <c r="X296" s="17"/>
      <c r="Y296" s="23"/>
      <c r="Z296" s="23"/>
      <c r="AA296" s="23"/>
      <c r="AB296" s="2"/>
      <c r="AC296" s="2"/>
      <c r="AD296" s="248"/>
      <c r="AE296" s="251"/>
      <c r="AF296" s="248"/>
      <c r="AG296" s="248"/>
      <c r="AH296" s="248"/>
    </row>
    <row r="297" spans="18:34" ht="15.5" x14ac:dyDescent="0.35">
      <c r="R297" s="122"/>
      <c r="S297" s="49"/>
      <c r="T297" s="50"/>
      <c r="U297" s="21"/>
      <c r="V297" s="22"/>
      <c r="W297" s="26"/>
      <c r="X297" s="17"/>
      <c r="Y297" s="23"/>
      <c r="Z297" s="23"/>
      <c r="AA297" s="23"/>
      <c r="AB297" s="2"/>
      <c r="AC297" s="2"/>
      <c r="AD297" s="248"/>
      <c r="AE297" s="251"/>
      <c r="AF297" s="248"/>
      <c r="AG297" s="248"/>
      <c r="AH297" s="248"/>
    </row>
    <row r="298" spans="18:34" ht="15.5" x14ac:dyDescent="0.35">
      <c r="R298" s="122"/>
      <c r="S298" s="49"/>
      <c r="T298" s="50"/>
      <c r="U298" s="21"/>
      <c r="V298" s="22"/>
      <c r="W298" s="26"/>
      <c r="X298" s="17"/>
      <c r="Y298" s="23"/>
      <c r="Z298" s="23"/>
      <c r="AA298" s="23"/>
      <c r="AB298" s="2"/>
      <c r="AC298" s="2"/>
      <c r="AD298" s="248"/>
      <c r="AE298" s="251"/>
      <c r="AF298" s="248"/>
      <c r="AG298" s="248"/>
      <c r="AH298" s="248"/>
    </row>
    <row r="299" spans="18:34" ht="15.5" x14ac:dyDescent="0.35">
      <c r="R299" s="122"/>
      <c r="S299" s="49"/>
      <c r="T299" s="50"/>
      <c r="U299" s="21"/>
      <c r="V299" s="22"/>
      <c r="W299" s="26"/>
      <c r="X299" s="17"/>
      <c r="Y299" s="23"/>
      <c r="Z299" s="23"/>
      <c r="AA299" s="23"/>
      <c r="AB299" s="2"/>
      <c r="AC299" s="2"/>
      <c r="AD299" s="248"/>
      <c r="AE299" s="251"/>
      <c r="AF299" s="248"/>
      <c r="AG299" s="248"/>
      <c r="AH299" s="248"/>
    </row>
    <row r="300" spans="18:34" ht="15.5" x14ac:dyDescent="0.35">
      <c r="R300" s="122"/>
      <c r="S300" s="49"/>
      <c r="T300" s="50"/>
      <c r="U300" s="21"/>
      <c r="V300" s="22"/>
      <c r="W300" s="26"/>
      <c r="X300" s="17"/>
      <c r="Y300" s="23"/>
      <c r="Z300" s="23"/>
      <c r="AA300" s="23"/>
      <c r="AB300" s="2"/>
      <c r="AC300" s="2"/>
      <c r="AD300" s="248"/>
      <c r="AE300" s="251"/>
      <c r="AF300" s="248"/>
      <c r="AG300" s="248"/>
      <c r="AH300" s="248"/>
    </row>
    <row r="301" spans="18:34" ht="15.5" x14ac:dyDescent="0.35">
      <c r="R301" s="122"/>
      <c r="S301" s="49"/>
      <c r="T301" s="50"/>
      <c r="U301" s="21"/>
      <c r="V301" s="22"/>
      <c r="W301" s="26"/>
      <c r="X301" s="17"/>
      <c r="Y301" s="23"/>
      <c r="Z301" s="23"/>
      <c r="AA301" s="23"/>
      <c r="AB301" s="2"/>
      <c r="AC301" s="2"/>
      <c r="AD301" s="248"/>
      <c r="AE301" s="251"/>
      <c r="AF301" s="248"/>
      <c r="AG301" s="248"/>
      <c r="AH301" s="248"/>
    </row>
    <row r="302" spans="18:34" ht="15.5" x14ac:dyDescent="0.35">
      <c r="R302" s="122"/>
      <c r="S302" s="49"/>
      <c r="T302" s="51"/>
      <c r="U302" s="32"/>
      <c r="V302" s="33"/>
      <c r="W302" s="26"/>
      <c r="X302" s="17"/>
      <c r="Y302" s="34"/>
      <c r="Z302" s="23"/>
      <c r="AA302" s="23"/>
      <c r="AB302" s="2"/>
      <c r="AC302" s="2"/>
      <c r="AD302" s="248"/>
      <c r="AE302" s="251"/>
      <c r="AF302" s="248"/>
      <c r="AG302" s="248"/>
      <c r="AH302" s="248"/>
    </row>
    <row r="303" spans="18:34" ht="15.5" x14ac:dyDescent="0.35">
      <c r="R303" s="122"/>
      <c r="S303" s="49"/>
      <c r="T303" s="50"/>
      <c r="U303" s="21"/>
      <c r="V303" s="22"/>
      <c r="W303" s="3"/>
      <c r="X303" s="17"/>
      <c r="Y303" s="23"/>
      <c r="Z303" s="23"/>
      <c r="AA303" s="23"/>
      <c r="AB303" s="2"/>
      <c r="AC303" s="2"/>
      <c r="AD303" s="248"/>
      <c r="AE303" s="251"/>
      <c r="AF303" s="248"/>
      <c r="AG303" s="248"/>
      <c r="AH303" s="248"/>
    </row>
    <row r="304" spans="18:34" ht="15.5" x14ac:dyDescent="0.35">
      <c r="R304" s="122"/>
      <c r="S304" s="49"/>
      <c r="T304" s="50"/>
      <c r="U304" s="21"/>
      <c r="V304" s="22"/>
      <c r="W304" s="3"/>
      <c r="X304" s="17"/>
      <c r="Y304" s="23"/>
      <c r="Z304" s="23"/>
      <c r="AA304" s="23"/>
      <c r="AB304" s="2"/>
      <c r="AC304" s="2"/>
      <c r="AD304" s="248"/>
      <c r="AE304" s="251"/>
      <c r="AF304" s="248"/>
      <c r="AG304" s="248"/>
      <c r="AH304" s="248"/>
    </row>
    <row r="305" spans="18:34" ht="15.5" x14ac:dyDescent="0.35">
      <c r="R305" s="122"/>
      <c r="S305" s="49"/>
      <c r="T305" s="50"/>
      <c r="U305" s="21"/>
      <c r="V305" s="22"/>
      <c r="W305" s="26"/>
      <c r="X305" s="17"/>
      <c r="Y305" s="23"/>
      <c r="Z305" s="23"/>
      <c r="AA305" s="23"/>
      <c r="AB305" s="2"/>
      <c r="AC305" s="2"/>
      <c r="AD305" s="248"/>
      <c r="AE305" s="251"/>
      <c r="AF305" s="248"/>
      <c r="AG305" s="248"/>
      <c r="AH305" s="248"/>
    </row>
    <row r="306" spans="18:34" ht="15.5" x14ac:dyDescent="0.35">
      <c r="R306" s="122"/>
      <c r="S306" s="49"/>
      <c r="T306" s="50"/>
      <c r="U306" s="21"/>
      <c r="V306" s="22"/>
      <c r="W306" s="26"/>
      <c r="X306" s="17"/>
      <c r="Y306" s="23"/>
      <c r="Z306" s="23"/>
      <c r="AA306" s="23"/>
      <c r="AB306" s="2"/>
      <c r="AC306" s="2"/>
      <c r="AD306" s="248"/>
      <c r="AE306" s="251"/>
      <c r="AF306" s="248"/>
      <c r="AG306" s="248"/>
      <c r="AH306" s="248"/>
    </row>
    <row r="307" spans="18:34" ht="15.5" x14ac:dyDescent="0.35">
      <c r="R307" s="122"/>
      <c r="S307" s="49"/>
      <c r="T307" s="50"/>
      <c r="U307" s="21"/>
      <c r="V307" s="22"/>
      <c r="W307" s="26"/>
      <c r="X307" s="17"/>
      <c r="Y307" s="23"/>
      <c r="Z307" s="23"/>
      <c r="AA307" s="23"/>
      <c r="AB307" s="2"/>
      <c r="AC307" s="2"/>
      <c r="AD307" s="248"/>
      <c r="AE307" s="251"/>
      <c r="AF307" s="248"/>
      <c r="AG307" s="248"/>
      <c r="AH307" s="248"/>
    </row>
    <row r="308" spans="18:34" ht="15.5" x14ac:dyDescent="0.35">
      <c r="R308" s="122"/>
      <c r="S308" s="49"/>
      <c r="T308" s="50"/>
      <c r="U308" s="21"/>
      <c r="V308" s="22"/>
      <c r="W308" s="3"/>
      <c r="X308" s="17"/>
      <c r="Y308" s="23"/>
      <c r="Z308" s="23"/>
      <c r="AA308" s="23"/>
      <c r="AB308" s="2"/>
      <c r="AC308" s="2"/>
      <c r="AD308" s="248"/>
      <c r="AE308" s="251"/>
      <c r="AF308" s="248"/>
      <c r="AG308" s="248"/>
      <c r="AH308" s="248"/>
    </row>
    <row r="309" spans="18:34" ht="15.5" x14ac:dyDescent="0.35">
      <c r="R309" s="122"/>
      <c r="S309" s="49"/>
      <c r="T309" s="50"/>
      <c r="U309" s="21"/>
      <c r="V309" s="22"/>
      <c r="W309" s="26"/>
      <c r="X309" s="17"/>
      <c r="Y309" s="23"/>
      <c r="Z309" s="23"/>
      <c r="AA309" s="23"/>
      <c r="AB309" s="2"/>
      <c r="AC309" s="2"/>
      <c r="AD309" s="248"/>
      <c r="AE309" s="251"/>
      <c r="AF309" s="248"/>
      <c r="AG309" s="248"/>
      <c r="AH309" s="248"/>
    </row>
    <row r="310" spans="18:34" ht="15.5" x14ac:dyDescent="0.35">
      <c r="R310" s="122"/>
      <c r="S310" s="49"/>
      <c r="T310" s="50"/>
      <c r="U310" s="21"/>
      <c r="V310" s="22"/>
      <c r="W310" s="26"/>
      <c r="X310" s="17"/>
      <c r="Y310" s="23"/>
      <c r="Z310" s="23"/>
      <c r="AA310" s="23"/>
      <c r="AB310" s="2"/>
      <c r="AC310" s="2"/>
      <c r="AD310" s="248"/>
      <c r="AE310" s="251"/>
      <c r="AF310" s="248"/>
      <c r="AG310" s="248"/>
      <c r="AH310" s="248"/>
    </row>
    <row r="311" spans="18:34" ht="15.5" x14ac:dyDescent="0.35">
      <c r="R311" s="122"/>
      <c r="S311" s="49"/>
      <c r="T311" s="51"/>
      <c r="U311" s="32"/>
      <c r="V311" s="33"/>
      <c r="W311" s="26"/>
      <c r="X311" s="17"/>
      <c r="Y311" s="34"/>
      <c r="Z311" s="23"/>
      <c r="AA311" s="23"/>
      <c r="AB311" s="2"/>
      <c r="AC311" s="2"/>
      <c r="AD311" s="248"/>
      <c r="AE311" s="251"/>
      <c r="AF311" s="248"/>
      <c r="AG311" s="248"/>
      <c r="AH311" s="248"/>
    </row>
    <row r="312" spans="18:34" ht="15.5" x14ac:dyDescent="0.35">
      <c r="R312" s="122"/>
      <c r="S312" s="49"/>
      <c r="T312" s="49"/>
      <c r="U312" s="4"/>
      <c r="V312" s="5"/>
      <c r="W312" s="3"/>
      <c r="X312" s="17"/>
      <c r="Y312" s="2"/>
      <c r="Z312" s="2"/>
      <c r="AA312" s="2"/>
      <c r="AB312" s="2"/>
      <c r="AC312" s="2"/>
      <c r="AD312" s="248"/>
      <c r="AE312" s="258"/>
      <c r="AF312" s="248"/>
      <c r="AG312" s="248"/>
      <c r="AH312" s="248"/>
    </row>
    <row r="313" spans="18:34" ht="15.5" x14ac:dyDescent="0.35">
      <c r="R313" s="122"/>
      <c r="S313" s="49"/>
      <c r="T313" s="50"/>
      <c r="U313" s="21"/>
      <c r="V313" s="22"/>
      <c r="W313" s="26"/>
      <c r="X313" s="17"/>
      <c r="Y313" s="23"/>
      <c r="Z313" s="23"/>
      <c r="AA313" s="23"/>
      <c r="AB313" s="2"/>
      <c r="AC313" s="2"/>
      <c r="AD313" s="248"/>
      <c r="AE313" s="251"/>
      <c r="AF313" s="248"/>
      <c r="AG313" s="248"/>
      <c r="AH313" s="248"/>
    </row>
    <row r="314" spans="18:34" ht="15.5" x14ac:dyDescent="0.35">
      <c r="R314" s="122"/>
      <c r="S314" s="49"/>
      <c r="T314" s="50"/>
      <c r="U314" s="21"/>
      <c r="V314" s="22"/>
      <c r="W314" s="26"/>
      <c r="X314" s="17"/>
      <c r="Y314" s="23"/>
      <c r="Z314" s="23"/>
      <c r="AA314" s="23"/>
      <c r="AB314" s="2"/>
      <c r="AC314" s="2"/>
      <c r="AD314" s="248"/>
      <c r="AE314" s="251"/>
      <c r="AF314" s="248"/>
      <c r="AG314" s="248"/>
      <c r="AH314" s="248"/>
    </row>
    <row r="315" spans="18:34" ht="15.5" x14ac:dyDescent="0.35">
      <c r="R315" s="122"/>
      <c r="S315" s="49"/>
      <c r="T315" s="50"/>
      <c r="U315" s="21"/>
      <c r="V315" s="22"/>
      <c r="W315" s="26"/>
      <c r="X315" s="17"/>
      <c r="Y315" s="23"/>
      <c r="Z315" s="23"/>
      <c r="AA315" s="23"/>
      <c r="AB315" s="2"/>
      <c r="AC315" s="2"/>
      <c r="AD315" s="248"/>
      <c r="AE315" s="251"/>
      <c r="AF315" s="248"/>
      <c r="AG315" s="248"/>
      <c r="AH315" s="248"/>
    </row>
    <row r="316" spans="18:34" ht="15.5" x14ac:dyDescent="0.35">
      <c r="R316" s="122"/>
      <c r="S316" s="49"/>
      <c r="T316" s="50"/>
      <c r="U316" s="21"/>
      <c r="V316" s="22"/>
      <c r="W316" s="3"/>
      <c r="X316" s="17"/>
      <c r="Y316" s="23"/>
      <c r="Z316" s="23"/>
      <c r="AA316" s="23"/>
      <c r="AB316" s="2"/>
      <c r="AC316" s="2"/>
      <c r="AD316" s="248"/>
      <c r="AE316" s="251"/>
      <c r="AF316" s="248"/>
      <c r="AG316" s="248"/>
      <c r="AH316" s="248"/>
    </row>
    <row r="317" spans="18:34" ht="15.5" x14ac:dyDescent="0.35">
      <c r="R317" s="122"/>
      <c r="S317" s="49"/>
      <c r="T317" s="50"/>
      <c r="U317" s="21"/>
      <c r="V317" s="22"/>
      <c r="W317" s="26"/>
      <c r="X317" s="17"/>
      <c r="Y317" s="23"/>
      <c r="Z317" s="23"/>
      <c r="AA317" s="23"/>
      <c r="AB317" s="2"/>
      <c r="AC317" s="2"/>
      <c r="AD317" s="248"/>
      <c r="AE317" s="251"/>
      <c r="AF317" s="248"/>
      <c r="AG317" s="248"/>
      <c r="AH317" s="248"/>
    </row>
    <row r="318" spans="18:34" ht="15.5" x14ac:dyDescent="0.35">
      <c r="R318" s="122"/>
      <c r="S318" s="49"/>
      <c r="T318" s="51"/>
      <c r="U318" s="32"/>
      <c r="V318" s="33"/>
      <c r="W318" s="3"/>
      <c r="X318" s="17"/>
      <c r="Y318" s="34"/>
      <c r="Z318" s="23"/>
      <c r="AA318" s="23"/>
      <c r="AB318" s="2"/>
      <c r="AC318" s="2"/>
      <c r="AD318" s="248"/>
      <c r="AE318" s="251"/>
      <c r="AF318" s="248"/>
      <c r="AG318" s="248"/>
      <c r="AH318" s="248"/>
    </row>
    <row r="319" spans="18:34" ht="15.5" x14ac:dyDescent="0.35">
      <c r="R319" s="122"/>
      <c r="S319" s="49"/>
      <c r="T319" s="50"/>
      <c r="U319" s="21"/>
      <c r="V319" s="22"/>
      <c r="W319" s="3"/>
      <c r="X319" s="17"/>
      <c r="Y319" s="23"/>
      <c r="Z319" s="23"/>
      <c r="AA319" s="23"/>
      <c r="AB319" s="2"/>
      <c r="AC319" s="2"/>
      <c r="AD319" s="248"/>
      <c r="AE319" s="251"/>
      <c r="AF319" s="248"/>
      <c r="AG319" s="248"/>
      <c r="AH319" s="248"/>
    </row>
    <row r="320" spans="18:34" ht="15.5" x14ac:dyDescent="0.35">
      <c r="R320" s="122"/>
      <c r="S320" s="49"/>
      <c r="T320" s="50"/>
      <c r="U320" s="21"/>
      <c r="V320" s="22"/>
      <c r="W320" s="3"/>
      <c r="X320" s="17"/>
      <c r="Y320" s="23"/>
      <c r="Z320" s="23"/>
      <c r="AA320" s="23"/>
      <c r="AB320" s="2"/>
      <c r="AC320" s="2"/>
      <c r="AD320" s="248"/>
      <c r="AE320" s="251"/>
      <c r="AF320" s="248"/>
      <c r="AG320" s="248"/>
      <c r="AH320" s="248"/>
    </row>
    <row r="321" spans="18:34" ht="15.5" x14ac:dyDescent="0.35">
      <c r="R321" s="122"/>
      <c r="S321" s="49"/>
      <c r="T321" s="51"/>
      <c r="U321" s="32"/>
      <c r="V321" s="33"/>
      <c r="W321" s="3"/>
      <c r="X321" s="17"/>
      <c r="Y321" s="34"/>
      <c r="Z321" s="23"/>
      <c r="AA321" s="23"/>
      <c r="AB321" s="2"/>
      <c r="AC321" s="2"/>
      <c r="AD321" s="248"/>
      <c r="AE321" s="251"/>
      <c r="AF321" s="248"/>
      <c r="AG321" s="248"/>
      <c r="AH321" s="248"/>
    </row>
    <row r="322" spans="18:34" ht="15.5" x14ac:dyDescent="0.35">
      <c r="R322" s="122"/>
      <c r="S322" s="49"/>
      <c r="T322" s="50"/>
      <c r="U322" s="21"/>
      <c r="V322" s="22"/>
      <c r="W322" s="26"/>
      <c r="X322" s="17"/>
      <c r="Y322" s="23"/>
      <c r="Z322" s="23"/>
      <c r="AA322" s="23"/>
      <c r="AB322" s="2"/>
      <c r="AC322" s="2"/>
      <c r="AD322" s="248"/>
      <c r="AE322" s="251"/>
      <c r="AF322" s="248"/>
      <c r="AG322" s="248"/>
      <c r="AH322" s="248"/>
    </row>
    <row r="323" spans="18:34" ht="15.5" x14ac:dyDescent="0.35">
      <c r="R323" s="122"/>
      <c r="S323" s="49"/>
      <c r="T323" s="50"/>
      <c r="U323" s="21"/>
      <c r="V323" s="22"/>
      <c r="W323" s="26"/>
      <c r="X323" s="17"/>
      <c r="Y323" s="23"/>
      <c r="Z323" s="23"/>
      <c r="AA323" s="23"/>
      <c r="AB323" s="2"/>
      <c r="AC323" s="2"/>
      <c r="AD323" s="248"/>
      <c r="AE323" s="251"/>
      <c r="AF323" s="248"/>
      <c r="AG323" s="248"/>
      <c r="AH323" s="248"/>
    </row>
    <row r="324" spans="18:34" ht="15.5" x14ac:dyDescent="0.35">
      <c r="R324" s="122"/>
      <c r="S324" s="49"/>
      <c r="T324" s="50"/>
      <c r="U324" s="21"/>
      <c r="V324" s="22"/>
      <c r="W324" s="3"/>
      <c r="X324" s="17"/>
      <c r="Y324" s="23"/>
      <c r="Z324" s="23"/>
      <c r="AA324" s="23"/>
      <c r="AB324" s="2"/>
      <c r="AC324" s="2"/>
      <c r="AD324" s="248"/>
      <c r="AE324" s="251"/>
      <c r="AF324" s="248"/>
      <c r="AG324" s="248"/>
      <c r="AH324" s="248"/>
    </row>
    <row r="325" spans="18:34" ht="15.5" x14ac:dyDescent="0.35">
      <c r="R325" s="122"/>
      <c r="S325" s="49"/>
      <c r="T325" s="50"/>
      <c r="U325" s="21"/>
      <c r="V325" s="22"/>
      <c r="W325" s="3"/>
      <c r="X325" s="17"/>
      <c r="Y325" s="23"/>
      <c r="Z325" s="23"/>
      <c r="AA325" s="23"/>
      <c r="AB325" s="2"/>
      <c r="AC325" s="2"/>
      <c r="AD325" s="248"/>
      <c r="AE325" s="251"/>
      <c r="AF325" s="248"/>
      <c r="AG325" s="248"/>
      <c r="AH325" s="248"/>
    </row>
    <row r="326" spans="18:34" ht="15.5" x14ac:dyDescent="0.35">
      <c r="R326" s="122"/>
      <c r="S326" s="49"/>
      <c r="T326" s="50"/>
      <c r="U326" s="21"/>
      <c r="V326" s="22"/>
      <c r="W326" s="3"/>
      <c r="X326" s="17"/>
      <c r="Y326" s="23"/>
      <c r="Z326" s="23"/>
      <c r="AA326" s="23"/>
      <c r="AB326" s="2"/>
      <c r="AC326" s="2"/>
      <c r="AD326" s="248"/>
      <c r="AE326" s="251"/>
      <c r="AF326" s="248"/>
      <c r="AG326" s="248"/>
      <c r="AH326" s="248"/>
    </row>
    <row r="327" spans="18:34" ht="15.5" x14ac:dyDescent="0.35">
      <c r="R327" s="122"/>
      <c r="S327" s="49"/>
      <c r="T327" s="50"/>
      <c r="U327" s="21"/>
      <c r="V327" s="22"/>
      <c r="W327" s="26"/>
      <c r="X327" s="17"/>
      <c r="Y327" s="23"/>
      <c r="Z327" s="23"/>
      <c r="AA327" s="23"/>
      <c r="AB327" s="2"/>
      <c r="AC327" s="2"/>
      <c r="AD327" s="248"/>
      <c r="AE327" s="251"/>
      <c r="AF327" s="248"/>
      <c r="AG327" s="248"/>
      <c r="AH327" s="248"/>
    </row>
    <row r="328" spans="18:34" ht="15.5" x14ac:dyDescent="0.35">
      <c r="R328" s="122"/>
      <c r="S328" s="49"/>
      <c r="T328" s="50"/>
      <c r="U328" s="21"/>
      <c r="V328" s="22"/>
      <c r="W328" s="3"/>
      <c r="X328" s="17"/>
      <c r="Y328" s="23"/>
      <c r="Z328" s="23"/>
      <c r="AA328" s="23"/>
      <c r="AB328" s="2"/>
      <c r="AC328" s="2"/>
      <c r="AD328" s="248"/>
      <c r="AE328" s="251"/>
      <c r="AF328" s="248"/>
      <c r="AG328" s="248"/>
      <c r="AH328" s="248"/>
    </row>
    <row r="329" spans="18:34" ht="15.5" x14ac:dyDescent="0.35">
      <c r="R329" s="122"/>
      <c r="S329" s="49"/>
      <c r="T329" s="50"/>
      <c r="U329" s="21"/>
      <c r="V329" s="22"/>
      <c r="W329" s="3"/>
      <c r="X329" s="17"/>
      <c r="Y329" s="23"/>
      <c r="Z329" s="23"/>
      <c r="AA329" s="23"/>
      <c r="AB329" s="2"/>
      <c r="AC329" s="2"/>
      <c r="AD329" s="248"/>
      <c r="AE329" s="251"/>
      <c r="AF329" s="248"/>
      <c r="AG329" s="248"/>
      <c r="AH329" s="248"/>
    </row>
    <row r="330" spans="18:34" ht="15.5" x14ac:dyDescent="0.35">
      <c r="R330" s="122"/>
      <c r="S330" s="49"/>
      <c r="T330" s="50"/>
      <c r="U330" s="21"/>
      <c r="V330" s="22"/>
      <c r="W330" s="3"/>
      <c r="X330" s="17"/>
      <c r="Y330" s="23"/>
      <c r="Z330" s="23"/>
      <c r="AA330" s="23"/>
      <c r="AB330" s="2"/>
      <c r="AC330" s="2"/>
      <c r="AD330" s="248"/>
      <c r="AE330" s="251"/>
      <c r="AF330" s="248"/>
      <c r="AG330" s="248"/>
      <c r="AH330" s="248"/>
    </row>
    <row r="331" spans="18:34" ht="15.5" x14ac:dyDescent="0.35">
      <c r="R331" s="122"/>
      <c r="S331" s="49"/>
      <c r="T331" s="50"/>
      <c r="U331" s="21"/>
      <c r="V331" s="22"/>
      <c r="W331" s="26"/>
      <c r="X331" s="17"/>
      <c r="Y331" s="23"/>
      <c r="Z331" s="23"/>
      <c r="AA331" s="23"/>
      <c r="AB331" s="2"/>
      <c r="AC331" s="2"/>
      <c r="AD331" s="248"/>
      <c r="AE331" s="251"/>
      <c r="AF331" s="248"/>
      <c r="AG331" s="248"/>
      <c r="AH331" s="248"/>
    </row>
    <row r="332" spans="18:34" ht="15.5" x14ac:dyDescent="0.35">
      <c r="R332" s="122"/>
      <c r="S332" s="49"/>
      <c r="T332" s="50"/>
      <c r="U332" s="21"/>
      <c r="V332" s="22"/>
      <c r="W332" s="26"/>
      <c r="X332" s="17"/>
      <c r="Y332" s="23"/>
      <c r="Z332" s="23"/>
      <c r="AA332" s="23"/>
      <c r="AB332" s="2"/>
      <c r="AC332" s="2"/>
      <c r="AD332" s="248"/>
      <c r="AE332" s="251"/>
      <c r="AF332" s="248"/>
      <c r="AG332" s="248"/>
      <c r="AH332" s="248"/>
    </row>
    <row r="333" spans="18:34" ht="15.5" x14ac:dyDescent="0.35">
      <c r="R333" s="122"/>
      <c r="S333" s="54"/>
      <c r="T333" s="49"/>
      <c r="U333" s="4"/>
      <c r="V333" s="5"/>
      <c r="W333" s="3"/>
      <c r="X333" s="3"/>
      <c r="Y333" s="2"/>
      <c r="Z333" s="23"/>
      <c r="AA333" s="23"/>
      <c r="AB333" s="2"/>
      <c r="AC333" s="2"/>
      <c r="AD333" s="260"/>
      <c r="AE333" s="261"/>
      <c r="AF333" s="260"/>
      <c r="AG333" s="260"/>
      <c r="AH333" s="262"/>
    </row>
    <row r="334" spans="18:34" ht="15.5" x14ac:dyDescent="0.35">
      <c r="R334" s="122"/>
      <c r="S334" s="49"/>
      <c r="T334" s="49"/>
      <c r="U334" s="13"/>
      <c r="V334" s="14"/>
      <c r="W334" s="3"/>
      <c r="X334" s="17"/>
      <c r="Y334" s="38"/>
      <c r="Z334" s="23"/>
      <c r="AA334" s="23"/>
      <c r="AB334" s="2"/>
      <c r="AC334" s="2"/>
      <c r="AD334" s="248"/>
      <c r="AE334" s="251"/>
      <c r="AF334" s="248"/>
      <c r="AG334" s="248"/>
      <c r="AH334" s="248"/>
    </row>
    <row r="335" spans="18:34" ht="15.5" x14ac:dyDescent="0.35">
      <c r="R335" s="122"/>
      <c r="S335" s="49"/>
      <c r="T335" s="49"/>
      <c r="U335" s="13"/>
      <c r="V335" s="14"/>
      <c r="W335" s="3"/>
      <c r="X335" s="17"/>
      <c r="Y335" s="27"/>
      <c r="Z335" s="23"/>
      <c r="AA335" s="23"/>
      <c r="AB335" s="2"/>
      <c r="AC335" s="2"/>
      <c r="AD335" s="248"/>
      <c r="AE335" s="251"/>
      <c r="AF335" s="248"/>
      <c r="AG335" s="248"/>
      <c r="AH335" s="248"/>
    </row>
    <row r="336" spans="18:34" ht="15.5" x14ac:dyDescent="0.35">
      <c r="R336" s="122"/>
      <c r="S336" s="49"/>
      <c r="T336" s="49"/>
      <c r="U336" s="13"/>
      <c r="V336" s="14"/>
      <c r="W336" s="26"/>
      <c r="X336" s="17"/>
      <c r="Y336" s="27"/>
      <c r="Z336" s="23"/>
      <c r="AA336" s="23"/>
      <c r="AB336" s="2"/>
      <c r="AC336" s="2"/>
      <c r="AD336" s="248"/>
      <c r="AE336" s="251"/>
      <c r="AF336" s="248"/>
      <c r="AG336" s="248"/>
      <c r="AH336" s="248"/>
    </row>
    <row r="337" spans="18:34" ht="15.5" x14ac:dyDescent="0.35">
      <c r="R337" s="122"/>
      <c r="S337" s="49"/>
      <c r="T337" s="49"/>
      <c r="U337" s="13"/>
      <c r="V337" s="14"/>
      <c r="W337" s="26"/>
      <c r="X337" s="17"/>
      <c r="Y337" s="38"/>
      <c r="Z337" s="23"/>
      <c r="AA337" s="23"/>
      <c r="AB337" s="2"/>
      <c r="AC337" s="2"/>
      <c r="AD337" s="248"/>
      <c r="AE337" s="251"/>
      <c r="AF337" s="248"/>
      <c r="AG337" s="248"/>
      <c r="AH337" s="248"/>
    </row>
    <row r="338" spans="18:34" ht="15.5" x14ac:dyDescent="0.35">
      <c r="R338" s="122"/>
      <c r="S338" s="49"/>
      <c r="T338" s="49"/>
      <c r="U338" s="13"/>
      <c r="V338" s="14"/>
      <c r="W338" s="26"/>
      <c r="X338" s="17"/>
      <c r="Y338" s="38"/>
      <c r="Z338" s="23"/>
      <c r="AA338" s="23"/>
      <c r="AB338" s="2"/>
      <c r="AC338" s="2"/>
      <c r="AD338" s="248"/>
      <c r="AE338" s="251"/>
      <c r="AF338" s="248"/>
      <c r="AG338" s="248"/>
      <c r="AH338" s="248"/>
    </row>
    <row r="339" spans="18:34" ht="15.5" x14ac:dyDescent="0.35">
      <c r="R339" s="122"/>
      <c r="S339" s="49"/>
      <c r="T339" s="49"/>
      <c r="U339" s="13"/>
      <c r="V339" s="14"/>
      <c r="W339" s="26"/>
      <c r="X339" s="17"/>
      <c r="Y339" s="38"/>
      <c r="Z339" s="23"/>
      <c r="AA339" s="23"/>
      <c r="AB339" s="2"/>
      <c r="AC339" s="2"/>
      <c r="AD339" s="248"/>
      <c r="AE339" s="251"/>
      <c r="AF339" s="248"/>
      <c r="AG339" s="248"/>
      <c r="AH339" s="248"/>
    </row>
    <row r="340" spans="18:34" ht="15.5" x14ac:dyDescent="0.35">
      <c r="R340" s="122"/>
      <c r="S340" s="49"/>
      <c r="T340" s="51"/>
      <c r="U340" s="32"/>
      <c r="V340" s="33"/>
      <c r="W340" s="3"/>
      <c r="X340" s="17"/>
      <c r="Y340" s="34"/>
      <c r="Z340" s="23"/>
      <c r="AA340" s="23"/>
      <c r="AB340" s="2"/>
      <c r="AC340" s="2"/>
      <c r="AD340" s="248"/>
      <c r="AE340" s="251"/>
      <c r="AF340" s="248"/>
      <c r="AG340" s="248"/>
      <c r="AH340" s="248"/>
    </row>
    <row r="341" spans="18:34" ht="15.5" x14ac:dyDescent="0.35">
      <c r="R341" s="122"/>
      <c r="S341" s="49"/>
      <c r="T341" s="50"/>
      <c r="U341" s="21"/>
      <c r="V341" s="22"/>
      <c r="W341" s="3"/>
      <c r="X341" s="17"/>
      <c r="Y341" s="23"/>
      <c r="Z341" s="23"/>
      <c r="AA341" s="23"/>
      <c r="AB341" s="2"/>
      <c r="AC341" s="2"/>
      <c r="AD341" s="248"/>
      <c r="AE341" s="251"/>
      <c r="AF341" s="248"/>
      <c r="AG341" s="248"/>
      <c r="AH341" s="248"/>
    </row>
    <row r="342" spans="18:34" ht="15.5" x14ac:dyDescent="0.35">
      <c r="R342" s="122"/>
      <c r="S342" s="49"/>
      <c r="T342" s="50"/>
      <c r="U342" s="21"/>
      <c r="V342" s="22"/>
      <c r="W342" s="26"/>
      <c r="X342" s="17"/>
      <c r="Y342" s="23"/>
      <c r="Z342" s="23"/>
      <c r="AA342" s="23"/>
      <c r="AB342" s="2"/>
      <c r="AC342" s="2"/>
      <c r="AD342" s="248"/>
      <c r="AE342" s="251"/>
      <c r="AF342" s="248"/>
      <c r="AG342" s="248"/>
      <c r="AH342" s="248"/>
    </row>
    <row r="343" spans="18:34" ht="15.5" x14ac:dyDescent="0.35">
      <c r="R343" s="122"/>
      <c r="S343" s="49"/>
      <c r="T343" s="50"/>
      <c r="U343" s="21"/>
      <c r="V343" s="22"/>
      <c r="W343" s="26"/>
      <c r="X343" s="17"/>
      <c r="Y343" s="23"/>
      <c r="Z343" s="23"/>
      <c r="AA343" s="23"/>
      <c r="AB343" s="2"/>
      <c r="AC343" s="2"/>
      <c r="AD343" s="248"/>
      <c r="AE343" s="251"/>
      <c r="AF343" s="248"/>
      <c r="AG343" s="248"/>
      <c r="AH343" s="248"/>
    </row>
    <row r="344" spans="18:34" ht="15.5" x14ac:dyDescent="0.35">
      <c r="R344" s="122"/>
      <c r="S344" s="49"/>
      <c r="T344" s="50"/>
      <c r="U344" s="21"/>
      <c r="V344" s="22"/>
      <c r="W344" s="26"/>
      <c r="X344" s="17"/>
      <c r="Y344" s="23"/>
      <c r="Z344" s="23"/>
      <c r="AA344" s="23"/>
      <c r="AB344" s="2"/>
      <c r="AC344" s="2"/>
      <c r="AD344" s="248"/>
      <c r="AE344" s="251"/>
      <c r="AF344" s="248"/>
      <c r="AG344" s="248"/>
      <c r="AH344" s="248"/>
    </row>
    <row r="345" spans="18:34" ht="15.5" x14ac:dyDescent="0.35">
      <c r="R345" s="122"/>
      <c r="S345" s="49"/>
      <c r="T345" s="50"/>
      <c r="U345" s="21"/>
      <c r="V345" s="22"/>
      <c r="W345" s="3"/>
      <c r="X345" s="17"/>
      <c r="Y345" s="23"/>
      <c r="Z345" s="23"/>
      <c r="AA345" s="23"/>
      <c r="AB345" s="2"/>
      <c r="AC345" s="2"/>
      <c r="AD345" s="248"/>
      <c r="AE345" s="251"/>
      <c r="AF345" s="248"/>
      <c r="AG345" s="248"/>
      <c r="AH345" s="248"/>
    </row>
    <row r="346" spans="18:34" ht="15.5" x14ac:dyDescent="0.35">
      <c r="R346" s="122"/>
      <c r="S346" s="49"/>
      <c r="T346" s="52"/>
      <c r="U346" s="39"/>
      <c r="V346" s="40"/>
      <c r="W346" s="3"/>
      <c r="X346" s="17"/>
      <c r="Y346" s="41"/>
      <c r="Z346" s="23"/>
      <c r="AA346" s="23"/>
      <c r="AB346" s="2"/>
      <c r="AC346" s="2"/>
      <c r="AD346" s="248"/>
      <c r="AE346" s="251"/>
      <c r="AF346" s="248"/>
      <c r="AG346" s="248"/>
      <c r="AH346" s="248"/>
    </row>
    <row r="347" spans="18:34" ht="15.5" x14ac:dyDescent="0.35">
      <c r="R347" s="122"/>
      <c r="S347" s="49"/>
      <c r="T347" s="49"/>
      <c r="U347" s="28"/>
      <c r="V347" s="29"/>
      <c r="W347" s="15"/>
      <c r="X347" s="17"/>
      <c r="Y347" s="30"/>
      <c r="Z347" s="23"/>
      <c r="AA347" s="23"/>
      <c r="AB347" s="2"/>
      <c r="AC347" s="2"/>
      <c r="AD347" s="248"/>
      <c r="AE347" s="251"/>
      <c r="AF347" s="248"/>
      <c r="AG347" s="248"/>
      <c r="AH347" s="248"/>
    </row>
    <row r="348" spans="18:34" ht="15.5" x14ac:dyDescent="0.35">
      <c r="R348" s="122"/>
      <c r="S348" s="49"/>
      <c r="T348" s="49"/>
      <c r="U348" s="28"/>
      <c r="V348" s="29"/>
      <c r="W348" s="3"/>
      <c r="X348" s="17"/>
      <c r="Y348" s="30"/>
      <c r="Z348" s="23"/>
      <c r="AA348" s="23"/>
      <c r="AB348" s="2"/>
      <c r="AC348" s="2"/>
      <c r="AD348" s="248"/>
      <c r="AE348" s="251"/>
      <c r="AF348" s="248"/>
      <c r="AG348" s="248"/>
      <c r="AH348" s="248"/>
    </row>
    <row r="349" spans="18:34" ht="15.5" x14ac:dyDescent="0.35">
      <c r="R349" s="122"/>
      <c r="S349" s="49"/>
      <c r="T349" s="49"/>
      <c r="U349" s="28"/>
      <c r="V349" s="29"/>
      <c r="W349" s="3"/>
      <c r="X349" s="17"/>
      <c r="Y349" s="30"/>
      <c r="Z349" s="23"/>
      <c r="AA349" s="23"/>
      <c r="AB349" s="2"/>
      <c r="AC349" s="2"/>
      <c r="AD349" s="248"/>
      <c r="AE349" s="251"/>
      <c r="AF349" s="248"/>
      <c r="AG349" s="248"/>
      <c r="AH349" s="248"/>
    </row>
    <row r="350" spans="18:34" ht="15.5" x14ac:dyDescent="0.35">
      <c r="R350" s="122"/>
      <c r="S350" s="49"/>
      <c r="T350" s="50"/>
      <c r="U350" s="21"/>
      <c r="V350" s="22"/>
      <c r="W350" s="15"/>
      <c r="X350" s="17"/>
      <c r="Y350" s="23"/>
      <c r="Z350" s="23"/>
      <c r="AA350" s="23"/>
      <c r="AB350" s="2"/>
      <c r="AC350" s="2"/>
      <c r="AD350" s="248"/>
      <c r="AE350" s="251"/>
      <c r="AF350" s="248"/>
      <c r="AG350" s="248"/>
      <c r="AH350" s="248"/>
    </row>
    <row r="351" spans="18:34" ht="15.5" x14ac:dyDescent="0.35">
      <c r="R351" s="122"/>
      <c r="S351" s="49"/>
      <c r="T351" s="49"/>
      <c r="U351" s="28"/>
      <c r="V351" s="29"/>
      <c r="W351" s="26"/>
      <c r="X351" s="17"/>
      <c r="Y351" s="30"/>
      <c r="Z351" s="23"/>
      <c r="AA351" s="23"/>
      <c r="AB351" s="2"/>
      <c r="AC351" s="2"/>
      <c r="AD351" s="248"/>
      <c r="AE351" s="251"/>
      <c r="AF351" s="248"/>
      <c r="AG351" s="248"/>
      <c r="AH351" s="248"/>
    </row>
    <row r="352" spans="18:34" ht="15.5" x14ac:dyDescent="0.35">
      <c r="R352" s="122"/>
      <c r="S352" s="49"/>
      <c r="T352" s="50"/>
      <c r="U352" s="21"/>
      <c r="V352" s="22"/>
      <c r="W352" s="26"/>
      <c r="X352" s="17"/>
      <c r="Y352" s="23"/>
      <c r="Z352" s="23"/>
      <c r="AA352" s="23"/>
      <c r="AB352" s="2"/>
      <c r="AC352" s="2"/>
      <c r="AD352" s="248"/>
      <c r="AE352" s="251"/>
      <c r="AF352" s="248"/>
      <c r="AG352" s="248"/>
      <c r="AH352" s="248"/>
    </row>
    <row r="353" spans="18:34" ht="15.5" x14ac:dyDescent="0.35">
      <c r="R353" s="122"/>
      <c r="S353" s="49"/>
      <c r="T353" s="49"/>
      <c r="U353" s="28"/>
      <c r="V353" s="29"/>
      <c r="W353" s="26"/>
      <c r="X353" s="17"/>
      <c r="Y353" s="30"/>
      <c r="Z353" s="23"/>
      <c r="AA353" s="23"/>
      <c r="AB353" s="2"/>
      <c r="AC353" s="2"/>
      <c r="AD353" s="248"/>
      <c r="AE353" s="251"/>
      <c r="AF353" s="248"/>
      <c r="AG353" s="248"/>
      <c r="AH353" s="248"/>
    </row>
    <row r="354" spans="18:34" ht="15.5" x14ac:dyDescent="0.35">
      <c r="R354" s="122"/>
      <c r="S354" s="49"/>
      <c r="T354" s="49"/>
      <c r="U354" s="13"/>
      <c r="V354" s="14"/>
      <c r="W354" s="3"/>
      <c r="X354" s="17"/>
      <c r="Y354" s="38"/>
      <c r="Z354" s="23"/>
      <c r="AA354" s="23"/>
      <c r="AB354" s="2"/>
      <c r="AC354" s="2"/>
      <c r="AD354" s="248"/>
      <c r="AE354" s="251"/>
      <c r="AF354" s="248"/>
      <c r="AG354" s="248"/>
      <c r="AH354" s="248"/>
    </row>
    <row r="355" spans="18:34" ht="15.5" x14ac:dyDescent="0.35">
      <c r="R355" s="122"/>
      <c r="S355" s="49"/>
      <c r="T355" s="50"/>
      <c r="U355" s="21"/>
      <c r="V355" s="22"/>
      <c r="W355" s="3"/>
      <c r="X355" s="17"/>
      <c r="Y355" s="23"/>
      <c r="Z355" s="23"/>
      <c r="AA355" s="23"/>
      <c r="AB355" s="2"/>
      <c r="AC355" s="2"/>
      <c r="AD355" s="248"/>
      <c r="AE355" s="251"/>
      <c r="AF355" s="248"/>
      <c r="AG355" s="248"/>
      <c r="AH355" s="248"/>
    </row>
    <row r="356" spans="18:34" ht="15.5" x14ac:dyDescent="0.35">
      <c r="R356" s="122"/>
      <c r="S356" s="49"/>
      <c r="T356" s="49"/>
      <c r="U356" s="28"/>
      <c r="V356" s="29"/>
      <c r="W356" s="3"/>
      <c r="X356" s="17"/>
      <c r="Y356" s="30"/>
      <c r="Z356" s="23"/>
      <c r="AA356" s="23"/>
      <c r="AB356" s="2"/>
      <c r="AC356" s="2"/>
      <c r="AD356" s="248"/>
      <c r="AE356" s="251"/>
      <c r="AF356" s="248"/>
      <c r="AG356" s="248"/>
      <c r="AH356" s="248"/>
    </row>
    <row r="357" spans="18:34" ht="15.5" x14ac:dyDescent="0.35">
      <c r="R357" s="122"/>
      <c r="S357" s="49"/>
      <c r="T357" s="49"/>
      <c r="U357" s="28"/>
      <c r="V357" s="29"/>
      <c r="W357" s="3"/>
      <c r="X357" s="17"/>
      <c r="Y357" s="30"/>
      <c r="Z357" s="23"/>
      <c r="AA357" s="23"/>
      <c r="AB357" s="2"/>
      <c r="AC357" s="2"/>
      <c r="AD357" s="248"/>
      <c r="AE357" s="251"/>
      <c r="AF357" s="248"/>
      <c r="AG357" s="248"/>
      <c r="AH357" s="248"/>
    </row>
    <row r="358" spans="18:34" ht="15.5" x14ac:dyDescent="0.35">
      <c r="R358" s="122"/>
      <c r="S358" s="49"/>
      <c r="T358" s="49"/>
      <c r="U358" s="13"/>
      <c r="V358" s="14"/>
      <c r="W358" s="26"/>
      <c r="X358" s="17"/>
      <c r="Y358" s="27"/>
      <c r="Z358" s="27"/>
      <c r="AA358" s="27"/>
      <c r="AB358" s="2"/>
      <c r="AC358" s="2"/>
      <c r="AD358" s="248"/>
      <c r="AE358" s="251"/>
      <c r="AF358" s="248"/>
      <c r="AG358" s="248"/>
      <c r="AH358" s="248"/>
    </row>
    <row r="359" spans="18:34" ht="15.5" x14ac:dyDescent="0.35">
      <c r="R359" s="122"/>
      <c r="S359" s="49"/>
      <c r="T359" s="50"/>
      <c r="U359" s="21"/>
      <c r="V359" s="22"/>
      <c r="W359" s="26"/>
      <c r="X359" s="17"/>
      <c r="Y359" s="23"/>
      <c r="Z359" s="23"/>
      <c r="AA359" s="23"/>
      <c r="AB359" s="2"/>
      <c r="AC359" s="2"/>
      <c r="AD359" s="248"/>
      <c r="AE359" s="251"/>
      <c r="AF359" s="248"/>
      <c r="AG359" s="248"/>
      <c r="AH359" s="248"/>
    </row>
    <row r="360" spans="18:34" ht="15.5" x14ac:dyDescent="0.35">
      <c r="R360" s="122"/>
      <c r="S360" s="49"/>
      <c r="T360" s="50"/>
      <c r="U360" s="21"/>
      <c r="V360" s="22"/>
      <c r="W360" s="26"/>
      <c r="X360" s="17"/>
      <c r="Y360" s="23"/>
      <c r="Z360" s="23"/>
      <c r="AA360" s="23"/>
      <c r="AB360" s="2"/>
      <c r="AC360" s="2"/>
      <c r="AD360" s="248"/>
      <c r="AE360" s="251"/>
      <c r="AF360" s="248"/>
      <c r="AG360" s="248"/>
      <c r="AH360" s="248"/>
    </row>
    <row r="361" spans="18:34" ht="15.5" x14ac:dyDescent="0.35">
      <c r="R361" s="122"/>
      <c r="S361" s="49"/>
      <c r="T361" s="50"/>
      <c r="U361" s="21"/>
      <c r="V361" s="22"/>
      <c r="W361" s="26"/>
      <c r="X361" s="17"/>
      <c r="Y361" s="23"/>
      <c r="Z361" s="23"/>
      <c r="AA361" s="23"/>
      <c r="AB361" s="2"/>
      <c r="AC361" s="2"/>
      <c r="AD361" s="248"/>
      <c r="AE361" s="251"/>
      <c r="AF361" s="248"/>
      <c r="AG361" s="248"/>
      <c r="AH361" s="248"/>
    </row>
    <row r="362" spans="18:34" ht="15.5" x14ac:dyDescent="0.35">
      <c r="R362" s="122"/>
      <c r="S362" s="49"/>
      <c r="T362" s="50"/>
      <c r="U362" s="21"/>
      <c r="V362" s="22"/>
      <c r="W362" s="26"/>
      <c r="X362" s="17"/>
      <c r="Y362" s="23"/>
      <c r="Z362" s="23"/>
      <c r="AA362" s="23"/>
      <c r="AB362" s="2"/>
      <c r="AC362" s="2"/>
      <c r="AD362" s="248"/>
      <c r="AE362" s="251"/>
      <c r="AF362" s="248"/>
      <c r="AG362" s="248"/>
      <c r="AH362" s="248"/>
    </row>
    <row r="363" spans="18:34" ht="15.5" x14ac:dyDescent="0.35">
      <c r="R363" s="122"/>
      <c r="S363" s="49"/>
      <c r="T363" s="51"/>
      <c r="U363" s="32"/>
      <c r="V363" s="33"/>
      <c r="W363" s="26"/>
      <c r="X363" s="17"/>
      <c r="Y363" s="34"/>
      <c r="Z363" s="23"/>
      <c r="AA363" s="23"/>
      <c r="AB363" s="2"/>
      <c r="AC363" s="2"/>
      <c r="AD363" s="248"/>
      <c r="AE363" s="251"/>
      <c r="AF363" s="248"/>
      <c r="AG363" s="248"/>
      <c r="AH363" s="248"/>
    </row>
    <row r="364" spans="18:34" ht="15.5" x14ac:dyDescent="0.35">
      <c r="R364" s="122"/>
      <c r="S364" s="49"/>
      <c r="T364" s="49"/>
      <c r="U364" s="13"/>
      <c r="V364" s="14"/>
      <c r="W364" s="26"/>
      <c r="X364" s="17"/>
      <c r="Y364" s="38"/>
      <c r="Z364" s="23"/>
      <c r="AA364" s="23"/>
      <c r="AB364" s="2"/>
      <c r="AC364" s="2"/>
      <c r="AD364" s="248"/>
      <c r="AE364" s="251"/>
      <c r="AF364" s="248"/>
      <c r="AG364" s="248"/>
      <c r="AH364" s="248"/>
    </row>
    <row r="365" spans="18:34" ht="15.5" x14ac:dyDescent="0.35">
      <c r="R365" s="122"/>
      <c r="S365" s="49"/>
      <c r="T365" s="50"/>
      <c r="U365" s="21"/>
      <c r="V365" s="22"/>
      <c r="W365" s="3"/>
      <c r="X365" s="17"/>
      <c r="Y365" s="23"/>
      <c r="Z365" s="23"/>
      <c r="AA365" s="23"/>
      <c r="AB365" s="2"/>
      <c r="AC365" s="2"/>
      <c r="AD365" s="248"/>
      <c r="AE365" s="251"/>
      <c r="AF365" s="248"/>
      <c r="AG365" s="248"/>
      <c r="AH365" s="248"/>
    </row>
    <row r="366" spans="18:34" ht="15.5" x14ac:dyDescent="0.35">
      <c r="R366" s="122"/>
      <c r="S366" s="49"/>
      <c r="T366" s="50"/>
      <c r="U366" s="21"/>
      <c r="V366" s="22"/>
      <c r="W366" s="3"/>
      <c r="X366" s="17"/>
      <c r="Y366" s="23"/>
      <c r="Z366" s="23"/>
      <c r="AA366" s="23"/>
      <c r="AB366" s="2"/>
      <c r="AC366" s="2"/>
      <c r="AD366" s="248"/>
      <c r="AE366" s="251"/>
      <c r="AF366" s="248"/>
      <c r="AG366" s="248"/>
      <c r="AH366" s="248"/>
    </row>
    <row r="367" spans="18:34" ht="15.5" x14ac:dyDescent="0.35">
      <c r="R367" s="122"/>
      <c r="S367" s="49"/>
      <c r="T367" s="50"/>
      <c r="U367" s="21"/>
      <c r="V367" s="22"/>
      <c r="W367" s="26"/>
      <c r="X367" s="17"/>
      <c r="Y367" s="23"/>
      <c r="Z367" s="23"/>
      <c r="AA367" s="23"/>
      <c r="AB367" s="2"/>
      <c r="AC367" s="2"/>
      <c r="AD367" s="248"/>
      <c r="AE367" s="251"/>
      <c r="AF367" s="248"/>
      <c r="AG367" s="248"/>
      <c r="AH367" s="248"/>
    </row>
    <row r="368" spans="18:34" ht="15.5" x14ac:dyDescent="0.35">
      <c r="R368" s="122"/>
      <c r="S368" s="49"/>
      <c r="T368" s="50"/>
      <c r="U368" s="21"/>
      <c r="V368" s="22"/>
      <c r="W368" s="26"/>
      <c r="X368" s="17"/>
      <c r="Y368" s="23"/>
      <c r="Z368" s="23"/>
      <c r="AA368" s="23"/>
      <c r="AB368" s="2"/>
      <c r="AC368" s="2"/>
      <c r="AD368" s="248"/>
      <c r="AE368" s="251"/>
      <c r="AF368" s="248"/>
      <c r="AG368" s="248"/>
      <c r="AH368" s="248"/>
    </row>
    <row r="369" spans="18:34" ht="15.5" x14ac:dyDescent="0.35">
      <c r="R369" s="122"/>
      <c r="S369" s="49"/>
      <c r="T369" s="50"/>
      <c r="U369" s="21"/>
      <c r="V369" s="22"/>
      <c r="W369" s="26"/>
      <c r="X369" s="17"/>
      <c r="Y369" s="23"/>
      <c r="Z369" s="23"/>
      <c r="AA369" s="23"/>
      <c r="AB369" s="2"/>
      <c r="AC369" s="2"/>
      <c r="AD369" s="248"/>
      <c r="AE369" s="251"/>
      <c r="AF369" s="248"/>
      <c r="AG369" s="248"/>
      <c r="AH369" s="248"/>
    </row>
    <row r="370" spans="18:34" ht="15.5" x14ac:dyDescent="0.35">
      <c r="R370" s="122"/>
      <c r="S370" s="49"/>
      <c r="T370" s="51"/>
      <c r="U370" s="32"/>
      <c r="V370" s="33"/>
      <c r="W370" s="26"/>
      <c r="X370" s="17"/>
      <c r="Y370" s="34"/>
      <c r="Z370" s="23"/>
      <c r="AA370" s="23"/>
      <c r="AB370" s="2"/>
      <c r="AC370" s="2"/>
      <c r="AD370" s="248"/>
      <c r="AE370" s="251"/>
      <c r="AF370" s="248"/>
      <c r="AG370" s="248"/>
      <c r="AH370" s="248"/>
    </row>
    <row r="371" spans="18:34" ht="15.5" x14ac:dyDescent="0.35">
      <c r="R371" s="122"/>
      <c r="S371" s="49"/>
      <c r="T371" s="50"/>
      <c r="U371" s="24"/>
      <c r="V371" s="25"/>
      <c r="W371" s="26"/>
      <c r="X371" s="17"/>
      <c r="Y371" s="20"/>
      <c r="Z371" s="23"/>
      <c r="AA371" s="23"/>
      <c r="AB371" s="2"/>
      <c r="AC371" s="2"/>
      <c r="AD371" s="248"/>
      <c r="AE371" s="251"/>
      <c r="AF371" s="248"/>
      <c r="AG371" s="248"/>
      <c r="AH371" s="248"/>
    </row>
    <row r="372" spans="18:34" ht="15.5" x14ac:dyDescent="0.35">
      <c r="R372" s="122"/>
      <c r="S372" s="49"/>
      <c r="T372" s="50"/>
      <c r="U372" s="21"/>
      <c r="V372" s="22"/>
      <c r="W372" s="26"/>
      <c r="X372" s="17"/>
      <c r="Y372" s="23"/>
      <c r="Z372" s="23"/>
      <c r="AA372" s="23"/>
      <c r="AB372" s="2"/>
      <c r="AC372" s="2"/>
      <c r="AD372" s="248"/>
      <c r="AE372" s="251"/>
      <c r="AF372" s="248"/>
      <c r="AG372" s="248"/>
      <c r="AH372" s="248"/>
    </row>
    <row r="373" spans="18:34" ht="15.5" x14ac:dyDescent="0.35">
      <c r="R373" s="122"/>
      <c r="S373" s="49"/>
      <c r="T373" s="51"/>
      <c r="U373" s="32"/>
      <c r="V373" s="33"/>
      <c r="W373" s="26"/>
      <c r="X373" s="17"/>
      <c r="Y373" s="34"/>
      <c r="Z373" s="23"/>
      <c r="AA373" s="23"/>
      <c r="AB373" s="2"/>
      <c r="AC373" s="2"/>
      <c r="AD373" s="248"/>
      <c r="AE373" s="251"/>
      <c r="AF373" s="248"/>
      <c r="AG373" s="248"/>
      <c r="AH373" s="248"/>
    </row>
    <row r="374" spans="18:34" ht="15.5" x14ac:dyDescent="0.35">
      <c r="R374" s="122"/>
      <c r="S374" s="49"/>
      <c r="T374" s="50"/>
      <c r="U374" s="21"/>
      <c r="V374" s="22"/>
      <c r="W374" s="26"/>
      <c r="X374" s="17"/>
      <c r="Y374" s="23"/>
      <c r="Z374" s="23"/>
      <c r="AA374" s="23"/>
      <c r="AB374" s="2"/>
      <c r="AC374" s="2"/>
      <c r="AD374" s="248"/>
      <c r="AE374" s="251"/>
      <c r="AF374" s="248"/>
      <c r="AG374" s="248"/>
      <c r="AH374" s="248"/>
    </row>
    <row r="375" spans="18:34" ht="15.5" x14ac:dyDescent="0.35">
      <c r="R375" s="122"/>
      <c r="S375" s="49"/>
      <c r="T375" s="50"/>
      <c r="U375" s="21"/>
      <c r="V375" s="22"/>
      <c r="W375" s="26"/>
      <c r="X375" s="17"/>
      <c r="Y375" s="23"/>
      <c r="Z375" s="23"/>
      <c r="AA375" s="23"/>
      <c r="AB375" s="2"/>
      <c r="AC375" s="2"/>
      <c r="AD375" s="248"/>
      <c r="AE375" s="251"/>
      <c r="AF375" s="248"/>
      <c r="AG375" s="248"/>
      <c r="AH375" s="248"/>
    </row>
    <row r="376" spans="18:34" ht="15.5" x14ac:dyDescent="0.35">
      <c r="R376" s="122"/>
      <c r="S376" s="49"/>
      <c r="T376" s="50"/>
      <c r="U376" s="21"/>
      <c r="V376" s="22"/>
      <c r="W376" s="3"/>
      <c r="X376" s="17"/>
      <c r="Y376" s="23"/>
      <c r="Z376" s="23"/>
      <c r="AA376" s="23"/>
      <c r="AB376" s="2"/>
      <c r="AC376" s="2"/>
      <c r="AD376" s="248"/>
      <c r="AE376" s="251"/>
      <c r="AF376" s="248"/>
      <c r="AG376" s="248"/>
      <c r="AH376" s="248"/>
    </row>
    <row r="377" spans="18:34" ht="15.5" x14ac:dyDescent="0.35">
      <c r="R377" s="122"/>
      <c r="S377" s="49"/>
      <c r="T377" s="50"/>
      <c r="U377" s="21"/>
      <c r="V377" s="22"/>
      <c r="W377" s="3"/>
      <c r="X377" s="17"/>
      <c r="Y377" s="23"/>
      <c r="Z377" s="23"/>
      <c r="AA377" s="23"/>
      <c r="AB377" s="2"/>
      <c r="AC377" s="2"/>
      <c r="AD377" s="248"/>
      <c r="AE377" s="251"/>
      <c r="AF377" s="248"/>
      <c r="AG377" s="248"/>
      <c r="AH377" s="248"/>
    </row>
    <row r="378" spans="18:34" ht="15.5" x14ac:dyDescent="0.35">
      <c r="R378" s="122"/>
      <c r="S378" s="49"/>
      <c r="T378" s="51"/>
      <c r="U378" s="32"/>
      <c r="V378" s="33"/>
      <c r="W378" s="26"/>
      <c r="X378" s="17"/>
      <c r="Y378" s="34"/>
      <c r="Z378" s="23"/>
      <c r="AA378" s="23"/>
      <c r="AB378" s="2"/>
      <c r="AC378" s="2"/>
      <c r="AD378" s="248"/>
      <c r="AE378" s="251"/>
      <c r="AF378" s="248"/>
      <c r="AG378" s="248"/>
      <c r="AH378" s="248"/>
    </row>
    <row r="379" spans="18:34" ht="15.5" x14ac:dyDescent="0.35">
      <c r="R379" s="122"/>
      <c r="S379" s="49"/>
      <c r="T379" s="50"/>
      <c r="U379" s="21"/>
      <c r="V379" s="22"/>
      <c r="W379" s="3"/>
      <c r="X379" s="17"/>
      <c r="Y379" s="23"/>
      <c r="Z379" s="23"/>
      <c r="AA379" s="23"/>
      <c r="AB379" s="2"/>
      <c r="AC379" s="2"/>
      <c r="AD379" s="248"/>
      <c r="AE379" s="251"/>
      <c r="AF379" s="248"/>
      <c r="AG379" s="248"/>
      <c r="AH379" s="248"/>
    </row>
    <row r="380" spans="18:34" ht="15.5" x14ac:dyDescent="0.35">
      <c r="R380" s="122"/>
      <c r="S380" s="49"/>
      <c r="T380" s="50"/>
      <c r="U380" s="21"/>
      <c r="V380" s="22"/>
      <c r="W380" s="26"/>
      <c r="X380" s="17"/>
      <c r="Y380" s="23"/>
      <c r="Z380" s="23"/>
      <c r="AA380" s="23"/>
      <c r="AB380" s="2"/>
      <c r="AC380" s="2"/>
      <c r="AD380" s="248"/>
      <c r="AE380" s="251"/>
      <c r="AF380" s="248"/>
      <c r="AG380" s="248"/>
      <c r="AH380" s="248"/>
    </row>
    <row r="381" spans="18:34" ht="15.5" x14ac:dyDescent="0.35">
      <c r="R381" s="122"/>
      <c r="S381" s="49"/>
      <c r="T381" s="50"/>
      <c r="U381" s="21"/>
      <c r="V381" s="22"/>
      <c r="W381" s="26"/>
      <c r="X381" s="17"/>
      <c r="Y381" s="23"/>
      <c r="Z381" s="23"/>
      <c r="AA381" s="23"/>
      <c r="AB381" s="2"/>
      <c r="AC381" s="2"/>
      <c r="AD381" s="248"/>
      <c r="AE381" s="251"/>
      <c r="AF381" s="248"/>
      <c r="AG381" s="248"/>
      <c r="AH381" s="248"/>
    </row>
    <row r="382" spans="18:34" ht="15.5" x14ac:dyDescent="0.35">
      <c r="R382" s="122"/>
      <c r="S382" s="49"/>
      <c r="T382" s="50"/>
      <c r="U382" s="21"/>
      <c r="V382" s="22"/>
      <c r="W382" s="3"/>
      <c r="X382" s="17"/>
      <c r="Y382" s="23"/>
      <c r="Z382" s="23"/>
      <c r="AA382" s="23"/>
      <c r="AB382" s="2"/>
      <c r="AC382" s="2"/>
      <c r="AD382" s="248"/>
      <c r="AE382" s="251"/>
      <c r="AF382" s="248"/>
      <c r="AG382" s="248"/>
      <c r="AH382" s="248"/>
    </row>
    <row r="383" spans="18:34" ht="15.5" x14ac:dyDescent="0.35">
      <c r="R383" s="122"/>
      <c r="S383" s="49"/>
      <c r="T383" s="50"/>
      <c r="U383" s="21"/>
      <c r="V383" s="22"/>
      <c r="W383" s="26"/>
      <c r="X383" s="17"/>
      <c r="Y383" s="23"/>
      <c r="Z383" s="23"/>
      <c r="AA383" s="23"/>
      <c r="AB383" s="2"/>
      <c r="AC383" s="2"/>
      <c r="AD383" s="248"/>
      <c r="AE383" s="251"/>
      <c r="AF383" s="248"/>
      <c r="AG383" s="248"/>
      <c r="AH383" s="248"/>
    </row>
    <row r="384" spans="18:34" ht="15.5" x14ac:dyDescent="0.35">
      <c r="R384" s="122"/>
      <c r="S384" s="49"/>
      <c r="T384" s="49"/>
      <c r="U384" s="13"/>
      <c r="V384" s="14"/>
      <c r="W384" s="15"/>
      <c r="X384" s="16"/>
      <c r="Y384" s="1"/>
      <c r="Z384" s="2"/>
      <c r="AA384" s="2"/>
      <c r="AB384" s="2"/>
      <c r="AC384" s="2"/>
      <c r="AD384" s="248"/>
      <c r="AE384" s="251"/>
      <c r="AF384" s="248"/>
      <c r="AG384" s="248"/>
      <c r="AH384" s="248"/>
    </row>
    <row r="385" spans="18:34" ht="15.5" x14ac:dyDescent="0.35">
      <c r="R385" s="122"/>
      <c r="S385" s="49"/>
      <c r="T385" s="50"/>
      <c r="U385" s="21"/>
      <c r="V385" s="22"/>
      <c r="W385" s="26"/>
      <c r="X385" s="17"/>
      <c r="Y385" s="23"/>
      <c r="Z385" s="23"/>
      <c r="AA385" s="23"/>
      <c r="AB385" s="2"/>
      <c r="AC385" s="2"/>
      <c r="AD385" s="248"/>
      <c r="AE385" s="251"/>
      <c r="AF385" s="248"/>
      <c r="AG385" s="248"/>
      <c r="AH385" s="248"/>
    </row>
    <row r="386" spans="18:34" ht="15.5" x14ac:dyDescent="0.35">
      <c r="R386" s="122"/>
      <c r="S386" s="49"/>
      <c r="T386" s="51"/>
      <c r="U386" s="32"/>
      <c r="V386" s="33"/>
      <c r="W386" s="26"/>
      <c r="X386" s="17"/>
      <c r="Y386" s="34"/>
      <c r="Z386" s="23"/>
      <c r="AA386" s="23"/>
      <c r="AB386" s="2"/>
      <c r="AC386" s="2"/>
      <c r="AD386" s="248"/>
      <c r="AE386" s="251"/>
      <c r="AF386" s="248"/>
      <c r="AG386" s="248"/>
      <c r="AH386" s="248"/>
    </row>
    <row r="387" spans="18:34" ht="15.5" x14ac:dyDescent="0.35">
      <c r="R387" s="122"/>
      <c r="S387" s="49"/>
      <c r="T387" s="49"/>
      <c r="U387" s="13"/>
      <c r="V387" s="14"/>
      <c r="W387" s="15"/>
      <c r="X387" s="16"/>
      <c r="Y387" s="27"/>
      <c r="Z387" s="27"/>
      <c r="AA387" s="27"/>
      <c r="AB387" s="38"/>
      <c r="AC387" s="38"/>
      <c r="AD387" s="248"/>
      <c r="AE387" s="256"/>
      <c r="AF387" s="248"/>
      <c r="AG387" s="257"/>
      <c r="AH387" s="248"/>
    </row>
    <row r="388" spans="18:34" ht="15.5" x14ac:dyDescent="0.35">
      <c r="R388" s="122"/>
      <c r="S388" s="49"/>
      <c r="T388" s="49"/>
      <c r="U388" s="13"/>
      <c r="V388" s="14"/>
      <c r="W388" s="15"/>
      <c r="X388" s="16"/>
      <c r="Y388" s="27"/>
      <c r="Z388" s="27"/>
      <c r="AA388" s="27"/>
      <c r="AB388" s="38"/>
      <c r="AC388" s="38"/>
      <c r="AD388" s="248"/>
      <c r="AE388" s="256"/>
      <c r="AF388" s="248"/>
      <c r="AG388" s="257"/>
      <c r="AH388" s="248"/>
    </row>
    <row r="389" spans="18:34" ht="15.5" x14ac:dyDescent="0.35">
      <c r="R389" s="122"/>
      <c r="S389" s="49"/>
      <c r="T389" s="49"/>
      <c r="U389" s="13"/>
      <c r="V389" s="14"/>
      <c r="W389" s="15"/>
      <c r="X389" s="16"/>
      <c r="Y389" s="27"/>
      <c r="Z389" s="27"/>
      <c r="AA389" s="27"/>
      <c r="AB389" s="38"/>
      <c r="AC389" s="38"/>
      <c r="AD389" s="248"/>
      <c r="AE389" s="256"/>
      <c r="AF389" s="248"/>
      <c r="AG389" s="257"/>
      <c r="AH389" s="248"/>
    </row>
    <row r="390" spans="18:34" ht="15.5" x14ac:dyDescent="0.35">
      <c r="R390" s="122"/>
      <c r="S390" s="49"/>
      <c r="T390" s="49"/>
      <c r="U390" s="13"/>
      <c r="V390" s="14"/>
      <c r="W390" s="15"/>
      <c r="X390" s="16"/>
      <c r="Y390" s="27"/>
      <c r="Z390" s="27"/>
      <c r="AA390" s="27"/>
      <c r="AB390" s="38"/>
      <c r="AC390" s="38"/>
      <c r="AD390" s="248"/>
      <c r="AE390" s="256"/>
      <c r="AF390" s="248"/>
      <c r="AG390" s="257"/>
      <c r="AH390" s="248"/>
    </row>
    <row r="391" spans="18:34" ht="15.5" x14ac:dyDescent="0.35">
      <c r="R391" s="122"/>
      <c r="S391" s="49"/>
      <c r="T391" s="49"/>
      <c r="U391" s="13"/>
      <c r="V391" s="14"/>
      <c r="W391" s="15"/>
      <c r="X391" s="16"/>
      <c r="Y391" s="27"/>
      <c r="Z391" s="27"/>
      <c r="AA391" s="27"/>
      <c r="AB391" s="38"/>
      <c r="AC391" s="38"/>
      <c r="AD391" s="248"/>
      <c r="AE391" s="256"/>
      <c r="AF391" s="248"/>
      <c r="AG391" s="257"/>
      <c r="AH391" s="248"/>
    </row>
    <row r="392" spans="18:34" ht="15.5" x14ac:dyDescent="0.35">
      <c r="R392" s="122"/>
      <c r="S392" s="49"/>
      <c r="T392" s="49"/>
      <c r="U392" s="13"/>
      <c r="V392" s="14"/>
      <c r="W392" s="15"/>
      <c r="X392" s="16"/>
      <c r="Y392" s="27"/>
      <c r="Z392" s="27"/>
      <c r="AA392" s="27"/>
      <c r="AB392" s="38"/>
      <c r="AC392" s="38"/>
      <c r="AD392" s="248"/>
      <c r="AE392" s="256"/>
      <c r="AF392" s="248"/>
      <c r="AG392" s="257"/>
      <c r="AH392" s="248"/>
    </row>
    <row r="393" spans="18:34" ht="15.5" x14ac:dyDescent="0.35">
      <c r="R393" s="122"/>
      <c r="S393" s="49"/>
      <c r="T393" s="49"/>
      <c r="U393" s="13"/>
      <c r="V393" s="14"/>
      <c r="W393" s="15"/>
      <c r="X393" s="16"/>
      <c r="Y393" s="27"/>
      <c r="Z393" s="27"/>
      <c r="AA393" s="27"/>
      <c r="AB393" s="38"/>
      <c r="AC393" s="38"/>
      <c r="AD393" s="248"/>
      <c r="AE393" s="256"/>
      <c r="AF393" s="248"/>
      <c r="AG393" s="257"/>
      <c r="AH393" s="248"/>
    </row>
    <row r="394" spans="18:34" ht="15.5" x14ac:dyDescent="0.35">
      <c r="R394" s="122"/>
      <c r="S394" s="49"/>
      <c r="T394" s="49"/>
      <c r="U394" s="13"/>
      <c r="V394" s="14"/>
      <c r="W394" s="15"/>
      <c r="X394" s="16"/>
      <c r="Y394" s="27"/>
      <c r="Z394" s="27"/>
      <c r="AA394" s="27"/>
      <c r="AB394" s="38"/>
      <c r="AC394" s="38"/>
      <c r="AD394" s="248"/>
      <c r="AE394" s="256"/>
      <c r="AF394" s="248"/>
      <c r="AG394" s="257"/>
      <c r="AH394" s="248"/>
    </row>
    <row r="395" spans="18:34" ht="15.5" x14ac:dyDescent="0.35">
      <c r="R395" s="122"/>
      <c r="S395" s="49"/>
      <c r="T395" s="49"/>
      <c r="U395" s="13"/>
      <c r="V395" s="14"/>
      <c r="W395" s="15"/>
      <c r="X395" s="16"/>
      <c r="Y395" s="27"/>
      <c r="Z395" s="27"/>
      <c r="AA395" s="27"/>
      <c r="AB395" s="38"/>
      <c r="AC395" s="38"/>
      <c r="AD395" s="248"/>
      <c r="AE395" s="256"/>
      <c r="AF395" s="248"/>
      <c r="AG395" s="257"/>
      <c r="AH395" s="248"/>
    </row>
    <row r="396" spans="18:34" ht="15.5" x14ac:dyDescent="0.35">
      <c r="R396" s="122"/>
      <c r="S396" s="49"/>
      <c r="T396" s="49"/>
      <c r="U396" s="4"/>
      <c r="V396" s="5"/>
      <c r="W396" s="15"/>
      <c r="X396" s="3"/>
      <c r="Y396" s="2"/>
      <c r="Z396" s="2"/>
      <c r="AA396" s="2"/>
      <c r="AB396" s="2"/>
      <c r="AC396" s="2"/>
      <c r="AD396" s="248"/>
      <c r="AE396" s="263"/>
      <c r="AF396" s="248"/>
      <c r="AG396" s="248"/>
      <c r="AH396" s="248"/>
    </row>
    <row r="397" spans="18:34" ht="15.5" x14ac:dyDescent="0.35">
      <c r="R397" s="122"/>
      <c r="S397" s="49"/>
      <c r="T397" s="49"/>
      <c r="U397" s="4"/>
      <c r="V397" s="5"/>
      <c r="W397" s="3"/>
      <c r="X397" s="3"/>
      <c r="Y397" s="2"/>
      <c r="Z397" s="2"/>
      <c r="AA397" s="2"/>
      <c r="AB397" s="2"/>
      <c r="AC397" s="2"/>
      <c r="AD397" s="248"/>
      <c r="AE397" s="249"/>
      <c r="AF397" s="248"/>
      <c r="AG397" s="250"/>
      <c r="AH397" s="248"/>
    </row>
    <row r="398" spans="18:34" ht="15.5" x14ac:dyDescent="0.35">
      <c r="R398" s="122"/>
      <c r="S398" s="49"/>
      <c r="T398" s="49"/>
      <c r="U398" s="4"/>
      <c r="V398" s="5"/>
      <c r="W398" s="3"/>
      <c r="X398" s="3"/>
      <c r="Y398" s="2"/>
      <c r="Z398" s="2"/>
      <c r="AA398" s="2"/>
      <c r="AB398" s="2"/>
      <c r="AC398" s="2"/>
      <c r="AD398" s="248"/>
      <c r="AE398" s="249"/>
      <c r="AF398" s="248"/>
      <c r="AG398" s="250"/>
      <c r="AH398" s="248"/>
    </row>
    <row r="399" spans="18:34" ht="15.5" x14ac:dyDescent="0.35">
      <c r="R399" s="122"/>
      <c r="S399" s="49"/>
      <c r="T399" s="49"/>
      <c r="U399" s="4"/>
      <c r="V399" s="5"/>
      <c r="W399" s="3"/>
      <c r="X399" s="3"/>
      <c r="Y399" s="2"/>
      <c r="Z399" s="2"/>
      <c r="AA399" s="2"/>
      <c r="AB399" s="2"/>
      <c r="AC399" s="2"/>
      <c r="AD399" s="248"/>
      <c r="AE399" s="249"/>
      <c r="AF399" s="248"/>
      <c r="AG399" s="250"/>
      <c r="AH399" s="248"/>
    </row>
    <row r="400" spans="18:34" ht="15.5" x14ac:dyDescent="0.35">
      <c r="R400" s="122"/>
      <c r="S400" s="49"/>
      <c r="T400" s="49"/>
      <c r="U400" s="4"/>
      <c r="V400" s="5"/>
      <c r="W400" s="3"/>
      <c r="X400" s="3"/>
      <c r="Y400" s="2"/>
      <c r="Z400" s="2"/>
      <c r="AA400" s="2"/>
      <c r="AB400" s="2"/>
      <c r="AC400" s="2"/>
      <c r="AD400" s="248"/>
      <c r="AE400" s="249"/>
      <c r="AF400" s="248"/>
      <c r="AG400" s="250"/>
      <c r="AH400" s="248"/>
    </row>
    <row r="401" spans="18:34" ht="15.5" x14ac:dyDescent="0.35">
      <c r="R401" s="122"/>
      <c r="S401" s="49"/>
      <c r="T401" s="49"/>
      <c r="U401" s="4"/>
      <c r="V401" s="5"/>
      <c r="W401" s="3"/>
      <c r="X401" s="3"/>
      <c r="Y401" s="2"/>
      <c r="Z401" s="2"/>
      <c r="AA401" s="2"/>
      <c r="AB401" s="2"/>
      <c r="AC401" s="2"/>
      <c r="AD401" s="248"/>
      <c r="AE401" s="249"/>
      <c r="AF401" s="248"/>
      <c r="AG401" s="250"/>
      <c r="AH401" s="248"/>
    </row>
    <row r="402" spans="18:34" ht="15.5" x14ac:dyDescent="0.35">
      <c r="R402" s="122"/>
      <c r="S402" s="49"/>
      <c r="T402" s="49"/>
      <c r="U402" s="4"/>
      <c r="V402" s="5"/>
      <c r="W402" s="3"/>
      <c r="X402" s="3"/>
      <c r="Y402" s="2"/>
      <c r="Z402" s="2"/>
      <c r="AA402" s="2"/>
      <c r="AB402" s="2"/>
      <c r="AC402" s="2"/>
      <c r="AD402" s="248"/>
      <c r="AE402" s="249"/>
      <c r="AF402" s="248"/>
      <c r="AG402" s="250"/>
      <c r="AH402" s="248"/>
    </row>
    <row r="403" spans="18:34" ht="15.5" x14ac:dyDescent="0.35">
      <c r="R403" s="122"/>
      <c r="S403" s="49"/>
      <c r="T403" s="49"/>
      <c r="U403" s="4"/>
      <c r="V403" s="5"/>
      <c r="W403" s="3"/>
      <c r="X403" s="3"/>
      <c r="Y403" s="2"/>
      <c r="Z403" s="2"/>
      <c r="AA403" s="2"/>
      <c r="AB403" s="2"/>
      <c r="AC403" s="2"/>
      <c r="AD403" s="248"/>
      <c r="AE403" s="249"/>
      <c r="AF403" s="248"/>
      <c r="AG403" s="250"/>
      <c r="AH403" s="248"/>
    </row>
    <row r="404" spans="18:34" ht="15.5" x14ac:dyDescent="0.35">
      <c r="R404" s="122"/>
      <c r="S404" s="49"/>
      <c r="T404" s="49"/>
      <c r="U404" s="4"/>
      <c r="V404" s="5"/>
      <c r="W404" s="3"/>
      <c r="X404" s="3"/>
      <c r="Y404" s="2"/>
      <c r="Z404" s="2"/>
      <c r="AA404" s="2"/>
      <c r="AB404" s="2"/>
      <c r="AC404" s="2"/>
      <c r="AD404" s="248"/>
      <c r="AE404" s="249"/>
      <c r="AF404" s="248"/>
      <c r="AG404" s="250"/>
      <c r="AH404" s="248"/>
    </row>
    <row r="405" spans="18:34" ht="15.5" x14ac:dyDescent="0.35">
      <c r="R405" s="122"/>
      <c r="S405" s="49"/>
      <c r="T405" s="49"/>
      <c r="U405" s="4"/>
      <c r="V405" s="5"/>
      <c r="W405" s="3"/>
      <c r="X405" s="3"/>
      <c r="Y405" s="2"/>
      <c r="Z405" s="2"/>
      <c r="AA405" s="2"/>
      <c r="AB405" s="2"/>
      <c r="AC405" s="2"/>
      <c r="AD405" s="248"/>
      <c r="AE405" s="249"/>
      <c r="AF405" s="248"/>
      <c r="AG405" s="250"/>
      <c r="AH405" s="248"/>
    </row>
    <row r="406" spans="18:34" ht="15.5" x14ac:dyDescent="0.35">
      <c r="R406" s="122"/>
      <c r="S406" s="49"/>
      <c r="T406" s="49"/>
      <c r="U406" s="4"/>
      <c r="V406" s="5"/>
      <c r="W406" s="15"/>
      <c r="X406" s="3"/>
      <c r="Y406" s="2"/>
      <c r="Z406" s="2"/>
      <c r="AA406" s="2"/>
      <c r="AB406" s="2"/>
      <c r="AC406" s="2"/>
      <c r="AD406" s="248"/>
      <c r="AE406" s="251"/>
      <c r="AF406" s="248"/>
      <c r="AG406" s="248"/>
      <c r="AH406" s="248"/>
    </row>
    <row r="407" spans="18:34" ht="15.5" x14ac:dyDescent="0.35">
      <c r="R407" s="122"/>
      <c r="S407" s="49"/>
      <c r="T407" s="49"/>
      <c r="U407" s="13"/>
      <c r="V407" s="14"/>
      <c r="W407" s="15"/>
      <c r="X407" s="16"/>
      <c r="Y407" s="27"/>
      <c r="Z407" s="27"/>
      <c r="AA407" s="27"/>
      <c r="AB407" s="38"/>
      <c r="AC407" s="38"/>
      <c r="AD407" s="248"/>
      <c r="AE407" s="256"/>
      <c r="AF407" s="248"/>
      <c r="AG407" s="257"/>
      <c r="AH407" s="248"/>
    </row>
    <row r="408" spans="18:34" ht="15.5" x14ac:dyDescent="0.35">
      <c r="R408" s="122"/>
      <c r="S408" s="49"/>
      <c r="T408" s="49"/>
      <c r="U408" s="4"/>
      <c r="V408" s="5"/>
      <c r="W408" s="15"/>
      <c r="X408" s="3"/>
      <c r="Y408" s="2"/>
      <c r="Z408" s="2"/>
      <c r="AA408" s="2"/>
      <c r="AB408" s="2"/>
      <c r="AC408" s="2"/>
      <c r="AD408" s="248"/>
      <c r="AE408" s="251"/>
      <c r="AF408" s="248"/>
      <c r="AG408" s="248"/>
      <c r="AH408" s="248"/>
    </row>
    <row r="409" spans="18:34" ht="15.5" x14ac:dyDescent="0.35">
      <c r="R409" s="122"/>
      <c r="S409" s="49"/>
      <c r="T409" s="49"/>
      <c r="U409" s="4"/>
      <c r="V409" s="5"/>
      <c r="W409" s="15"/>
      <c r="X409" s="3"/>
      <c r="Y409" s="2"/>
      <c r="Z409" s="2"/>
      <c r="AA409" s="2"/>
      <c r="AB409" s="2"/>
      <c r="AC409" s="2"/>
      <c r="AD409" s="248"/>
      <c r="AE409" s="251"/>
      <c r="AF409" s="248"/>
      <c r="AG409" s="248"/>
      <c r="AH409" s="248"/>
    </row>
    <row r="410" spans="18:34" ht="15.5" x14ac:dyDescent="0.35">
      <c r="R410" s="122"/>
      <c r="S410" s="49"/>
      <c r="T410" s="49"/>
      <c r="U410" s="4"/>
      <c r="V410" s="5"/>
      <c r="W410" s="15"/>
      <c r="X410" s="3"/>
      <c r="Y410" s="2"/>
      <c r="Z410" s="2"/>
      <c r="AA410" s="2"/>
      <c r="AB410" s="2"/>
      <c r="AC410" s="2"/>
      <c r="AD410" s="248"/>
      <c r="AE410" s="251"/>
      <c r="AF410" s="248"/>
      <c r="AG410" s="248"/>
      <c r="AH410" s="248"/>
    </row>
    <row r="411" spans="18:34" ht="15.5" x14ac:dyDescent="0.35">
      <c r="R411" s="122"/>
      <c r="S411" s="49"/>
      <c r="T411" s="49"/>
      <c r="U411" s="4"/>
      <c r="V411" s="5"/>
      <c r="W411" s="15"/>
      <c r="X411" s="3"/>
      <c r="Y411" s="2"/>
      <c r="Z411" s="2"/>
      <c r="AA411" s="2"/>
      <c r="AB411" s="2"/>
      <c r="AC411" s="2"/>
      <c r="AD411" s="248"/>
      <c r="AE411" s="251"/>
      <c r="AF411" s="248"/>
      <c r="AG411" s="248"/>
      <c r="AH411" s="248"/>
    </row>
    <row r="412" spans="18:34" ht="15.5" x14ac:dyDescent="0.35">
      <c r="R412" s="122"/>
      <c r="S412" s="49"/>
      <c r="T412" s="49"/>
      <c r="U412" s="4"/>
      <c r="V412" s="5"/>
      <c r="W412" s="15"/>
      <c r="X412" s="3"/>
      <c r="Y412" s="2"/>
      <c r="Z412" s="2"/>
      <c r="AA412" s="2"/>
      <c r="AB412" s="2"/>
      <c r="AC412" s="2"/>
      <c r="AD412" s="248"/>
      <c r="AE412" s="251"/>
      <c r="AF412" s="248"/>
      <c r="AG412" s="248"/>
      <c r="AH412" s="248"/>
    </row>
    <row r="413" spans="18:34" ht="15.5" x14ac:dyDescent="0.35">
      <c r="R413" s="122"/>
      <c r="S413" s="49"/>
      <c r="T413" s="49"/>
      <c r="U413" s="4"/>
      <c r="V413" s="5"/>
      <c r="W413" s="15"/>
      <c r="X413" s="3"/>
      <c r="Y413" s="2"/>
      <c r="Z413" s="2"/>
      <c r="AA413" s="2"/>
      <c r="AB413" s="2"/>
      <c r="AC413" s="2"/>
      <c r="AD413" s="248"/>
      <c r="AE413" s="251"/>
      <c r="AF413" s="248"/>
      <c r="AG413" s="248"/>
      <c r="AH413" s="248"/>
    </row>
    <row r="414" spans="18:34" ht="15.5" x14ac:dyDescent="0.35">
      <c r="R414" s="122"/>
      <c r="S414" s="49"/>
      <c r="T414" s="49"/>
      <c r="U414" s="4"/>
      <c r="V414" s="5"/>
      <c r="W414" s="15"/>
      <c r="X414" s="3"/>
      <c r="Y414" s="2"/>
      <c r="Z414" s="2"/>
      <c r="AA414" s="2"/>
      <c r="AB414" s="2"/>
      <c r="AC414" s="2"/>
      <c r="AD414" s="248"/>
      <c r="AE414" s="251"/>
      <c r="AF414" s="248"/>
      <c r="AG414" s="248"/>
      <c r="AH414" s="248"/>
    </row>
    <row r="415" spans="18:34" ht="15.5" x14ac:dyDescent="0.35">
      <c r="R415" s="122"/>
      <c r="S415" s="49"/>
      <c r="T415" s="49"/>
      <c r="U415" s="4"/>
      <c r="V415" s="5"/>
      <c r="W415" s="3"/>
      <c r="X415" s="3"/>
      <c r="Y415" s="2"/>
      <c r="Z415" s="2"/>
      <c r="AA415" s="2"/>
      <c r="AB415" s="2"/>
      <c r="AC415" s="2"/>
      <c r="AD415" s="248"/>
      <c r="AE415" s="249"/>
      <c r="AF415" s="248"/>
      <c r="AG415" s="250"/>
      <c r="AH415" s="248"/>
    </row>
    <row r="416" spans="18:34" ht="15.5" x14ac:dyDescent="0.35">
      <c r="R416" s="122"/>
      <c r="S416" s="49"/>
      <c r="T416" s="49"/>
      <c r="U416" s="4"/>
      <c r="V416" s="5"/>
      <c r="W416" s="3"/>
      <c r="X416" s="3"/>
      <c r="Y416" s="2"/>
      <c r="Z416" s="2"/>
      <c r="AA416" s="2"/>
      <c r="AB416" s="2"/>
      <c r="AC416" s="2"/>
      <c r="AD416" s="248"/>
      <c r="AE416" s="249"/>
      <c r="AF416" s="248"/>
      <c r="AG416" s="250"/>
      <c r="AH416" s="248"/>
    </row>
    <row r="417" spans="18:34" ht="15.5" x14ac:dyDescent="0.35">
      <c r="R417" s="122"/>
      <c r="S417" s="49"/>
      <c r="T417" s="49"/>
      <c r="U417" s="4"/>
      <c r="V417" s="5"/>
      <c r="W417" s="3"/>
      <c r="X417" s="3"/>
      <c r="Y417" s="2"/>
      <c r="Z417" s="2"/>
      <c r="AA417" s="2"/>
      <c r="AB417" s="2"/>
      <c r="AC417" s="2"/>
      <c r="AD417" s="248"/>
      <c r="AE417" s="249"/>
      <c r="AF417" s="248"/>
      <c r="AG417" s="250"/>
      <c r="AH417" s="248"/>
    </row>
    <row r="418" spans="18:34" ht="15.5" x14ac:dyDescent="0.35">
      <c r="R418" s="122"/>
      <c r="S418" s="49"/>
      <c r="T418" s="49"/>
      <c r="U418" s="4"/>
      <c r="V418" s="5"/>
      <c r="W418" s="3"/>
      <c r="X418" s="3"/>
      <c r="Y418" s="2"/>
      <c r="Z418" s="2"/>
      <c r="AA418" s="2"/>
      <c r="AB418" s="2"/>
      <c r="AC418" s="2"/>
      <c r="AD418" s="248"/>
      <c r="AE418" s="249"/>
      <c r="AF418" s="248"/>
      <c r="AG418" s="250"/>
      <c r="AH418" s="248"/>
    </row>
    <row r="419" spans="18:34" ht="15.5" x14ac:dyDescent="0.35">
      <c r="R419" s="122"/>
      <c r="S419" s="49"/>
      <c r="T419" s="49"/>
      <c r="U419" s="4"/>
      <c r="V419" s="5"/>
      <c r="W419" s="15"/>
      <c r="X419" s="3"/>
      <c r="Y419" s="2"/>
      <c r="Z419" s="2"/>
      <c r="AA419" s="2"/>
      <c r="AB419" s="2"/>
      <c r="AC419" s="2"/>
      <c r="AD419" s="248"/>
      <c r="AE419" s="251"/>
      <c r="AF419" s="248"/>
      <c r="AG419" s="248"/>
      <c r="AH419" s="248"/>
    </row>
    <row r="420" spans="18:34" ht="15.5" x14ac:dyDescent="0.35">
      <c r="R420" s="122"/>
      <c r="S420" s="49"/>
      <c r="T420" s="49"/>
      <c r="U420" s="4"/>
      <c r="V420" s="5"/>
      <c r="W420" s="3"/>
      <c r="X420" s="3"/>
      <c r="Y420" s="2"/>
      <c r="Z420" s="2"/>
      <c r="AA420" s="2"/>
      <c r="AB420" s="2"/>
      <c r="AC420" s="2"/>
      <c r="AD420" s="248"/>
      <c r="AE420" s="249"/>
      <c r="AF420" s="248"/>
      <c r="AG420" s="250"/>
      <c r="AH420" s="248"/>
    </row>
    <row r="421" spans="18:34" ht="15.5" x14ac:dyDescent="0.35">
      <c r="R421" s="122"/>
      <c r="S421" s="49"/>
      <c r="T421" s="49"/>
      <c r="U421" s="4"/>
      <c r="V421" s="5"/>
      <c r="W421" s="3"/>
      <c r="X421" s="3"/>
      <c r="Y421" s="2"/>
      <c r="Z421" s="2"/>
      <c r="AA421" s="2"/>
      <c r="AB421" s="2"/>
      <c r="AC421" s="2"/>
      <c r="AD421" s="248"/>
      <c r="AE421" s="249"/>
      <c r="AF421" s="248"/>
      <c r="AG421" s="250"/>
      <c r="AH421" s="248"/>
    </row>
    <row r="422" spans="18:34" ht="15.5" x14ac:dyDescent="0.35">
      <c r="R422" s="122"/>
      <c r="S422" s="49"/>
      <c r="T422" s="49"/>
      <c r="U422" s="4"/>
      <c r="V422" s="5"/>
      <c r="W422" s="3"/>
      <c r="X422" s="3"/>
      <c r="Y422" s="2"/>
      <c r="Z422" s="2"/>
      <c r="AA422" s="2"/>
      <c r="AB422" s="2"/>
      <c r="AC422" s="2"/>
      <c r="AD422" s="248"/>
      <c r="AE422" s="249"/>
      <c r="AF422" s="248"/>
      <c r="AG422" s="250"/>
      <c r="AH422" s="248"/>
    </row>
    <row r="423" spans="18:34" ht="15.5" x14ac:dyDescent="0.35">
      <c r="R423" s="122"/>
      <c r="S423" s="49"/>
      <c r="T423" s="49"/>
      <c r="U423" s="4"/>
      <c r="V423" s="5"/>
      <c r="W423" s="3"/>
      <c r="X423" s="3"/>
      <c r="Y423" s="2"/>
      <c r="Z423" s="2"/>
      <c r="AA423" s="2"/>
      <c r="AB423" s="2"/>
      <c r="AC423" s="2"/>
      <c r="AD423" s="248"/>
      <c r="AE423" s="249"/>
      <c r="AF423" s="248"/>
      <c r="AG423" s="250"/>
      <c r="AH423" s="248"/>
    </row>
    <row r="424" spans="18:34" ht="15.5" x14ac:dyDescent="0.35">
      <c r="R424" s="122"/>
      <c r="S424" s="49"/>
      <c r="T424" s="49"/>
      <c r="U424" s="4"/>
      <c r="V424" s="5"/>
      <c r="W424" s="15"/>
      <c r="X424" s="3"/>
      <c r="Y424" s="2"/>
      <c r="Z424" s="2"/>
      <c r="AA424" s="2"/>
      <c r="AB424" s="2"/>
      <c r="AC424" s="2"/>
      <c r="AD424" s="248"/>
      <c r="AE424" s="251"/>
      <c r="AF424" s="248"/>
      <c r="AG424" s="248"/>
      <c r="AH424" s="248"/>
    </row>
    <row r="425" spans="18:34" ht="15.5" x14ac:dyDescent="0.35">
      <c r="R425" s="122"/>
      <c r="S425" s="49"/>
      <c r="T425" s="49"/>
      <c r="U425" s="4"/>
      <c r="V425" s="5"/>
      <c r="W425" s="3"/>
      <c r="X425" s="3"/>
      <c r="Y425" s="2"/>
      <c r="Z425" s="2"/>
      <c r="AA425" s="2"/>
      <c r="AB425" s="2"/>
      <c r="AC425" s="2"/>
      <c r="AD425" s="248"/>
      <c r="AE425" s="249"/>
      <c r="AF425" s="248"/>
      <c r="AG425" s="250"/>
      <c r="AH425" s="248"/>
    </row>
    <row r="426" spans="18:34" ht="15.5" x14ac:dyDescent="0.35">
      <c r="R426" s="122"/>
      <c r="S426" s="49"/>
      <c r="T426" s="49"/>
      <c r="U426" s="4"/>
      <c r="V426" s="5"/>
      <c r="W426" s="3"/>
      <c r="X426" s="3"/>
      <c r="Y426" s="2"/>
      <c r="Z426" s="2"/>
      <c r="AA426" s="2"/>
      <c r="AB426" s="2"/>
      <c r="AC426" s="2"/>
      <c r="AD426" s="248"/>
      <c r="AE426" s="249"/>
      <c r="AF426" s="248"/>
      <c r="AG426" s="250"/>
      <c r="AH426" s="248"/>
    </row>
    <row r="427" spans="18:34" ht="15.5" x14ac:dyDescent="0.35">
      <c r="R427" s="122"/>
      <c r="S427" s="49"/>
      <c r="T427" s="49"/>
      <c r="U427" s="4"/>
      <c r="V427" s="5"/>
      <c r="W427" s="3"/>
      <c r="X427" s="3"/>
      <c r="Y427" s="2"/>
      <c r="Z427" s="2"/>
      <c r="AA427" s="2"/>
      <c r="AB427" s="2"/>
      <c r="AC427" s="2"/>
      <c r="AD427" s="248"/>
      <c r="AE427" s="249"/>
      <c r="AF427" s="248"/>
      <c r="AG427" s="250"/>
      <c r="AH427" s="248"/>
    </row>
    <row r="428" spans="18:34" ht="15.5" x14ac:dyDescent="0.35">
      <c r="R428" s="122"/>
      <c r="S428" s="49"/>
      <c r="T428" s="49"/>
      <c r="U428" s="4"/>
      <c r="V428" s="5"/>
      <c r="W428" s="3"/>
      <c r="X428" s="3"/>
      <c r="Y428" s="2"/>
      <c r="Z428" s="2"/>
      <c r="AA428" s="2"/>
      <c r="AB428" s="2"/>
      <c r="AC428" s="2"/>
      <c r="AD428" s="248"/>
      <c r="AE428" s="249"/>
      <c r="AF428" s="248"/>
      <c r="AG428" s="250"/>
      <c r="AH428" s="248"/>
    </row>
    <row r="429" spans="18:34" ht="15.5" x14ac:dyDescent="0.35">
      <c r="R429" s="122"/>
      <c r="S429" s="49"/>
      <c r="T429" s="49"/>
      <c r="U429" s="4"/>
      <c r="V429" s="5"/>
      <c r="W429" s="3"/>
      <c r="X429" s="3"/>
      <c r="Y429" s="2"/>
      <c r="Z429" s="2"/>
      <c r="AA429" s="2"/>
      <c r="AB429" s="2"/>
      <c r="AC429" s="2"/>
      <c r="AD429" s="248"/>
      <c r="AE429" s="249"/>
      <c r="AF429" s="248"/>
      <c r="AG429" s="250"/>
      <c r="AH429" s="248"/>
    </row>
    <row r="430" spans="18:34" ht="15.5" x14ac:dyDescent="0.35">
      <c r="R430" s="122"/>
      <c r="S430" s="49"/>
      <c r="T430" s="49"/>
      <c r="U430" s="4"/>
      <c r="V430" s="5"/>
      <c r="W430" s="3"/>
      <c r="X430" s="3"/>
      <c r="Y430" s="2"/>
      <c r="Z430" s="2"/>
      <c r="AA430" s="2"/>
      <c r="AB430" s="2"/>
      <c r="AC430" s="2"/>
      <c r="AD430" s="248"/>
      <c r="AE430" s="249"/>
      <c r="AF430" s="248"/>
      <c r="AG430" s="250"/>
      <c r="AH430" s="248"/>
    </row>
    <row r="431" spans="18:34" ht="15.5" x14ac:dyDescent="0.35">
      <c r="R431" s="122"/>
      <c r="S431" s="49"/>
      <c r="T431" s="49"/>
      <c r="U431" s="4"/>
      <c r="V431" s="5"/>
      <c r="W431" s="3"/>
      <c r="X431" s="3"/>
      <c r="Y431" s="2"/>
      <c r="Z431" s="2"/>
      <c r="AA431" s="2"/>
      <c r="AB431" s="2"/>
      <c r="AC431" s="2"/>
      <c r="AD431" s="248"/>
      <c r="AE431" s="249"/>
      <c r="AF431" s="248"/>
      <c r="AG431" s="250"/>
      <c r="AH431" s="248"/>
    </row>
    <row r="432" spans="18:34" ht="15.5" x14ac:dyDescent="0.35">
      <c r="R432" s="122"/>
      <c r="S432" s="49"/>
      <c r="T432" s="49"/>
      <c r="U432" s="4"/>
      <c r="V432" s="5"/>
      <c r="W432" s="3"/>
      <c r="X432" s="3"/>
      <c r="Y432" s="2"/>
      <c r="Z432" s="2"/>
      <c r="AA432" s="2"/>
      <c r="AB432" s="2"/>
      <c r="AC432" s="2"/>
      <c r="AD432" s="248"/>
      <c r="AE432" s="249"/>
      <c r="AF432" s="248"/>
      <c r="AG432" s="250"/>
      <c r="AH432" s="248"/>
    </row>
    <row r="433" spans="18:34" ht="15.5" x14ac:dyDescent="0.35">
      <c r="R433" s="122"/>
      <c r="S433" s="49"/>
      <c r="T433" s="49"/>
      <c r="U433" s="4"/>
      <c r="V433" s="5"/>
      <c r="W433" s="3"/>
      <c r="X433" s="3"/>
      <c r="Y433" s="2"/>
      <c r="Z433" s="2"/>
      <c r="AA433" s="2"/>
      <c r="AB433" s="2"/>
      <c r="AC433" s="2"/>
      <c r="AD433" s="248"/>
      <c r="AE433" s="249"/>
      <c r="AF433" s="248"/>
      <c r="AG433" s="250"/>
      <c r="AH433" s="248"/>
    </row>
    <row r="434" spans="18:34" ht="15.5" x14ac:dyDescent="0.35">
      <c r="R434" s="122"/>
      <c r="S434" s="49"/>
      <c r="T434" s="49"/>
      <c r="U434" s="4"/>
      <c r="V434" s="5"/>
      <c r="W434" s="3"/>
      <c r="X434" s="3"/>
      <c r="Y434" s="2"/>
      <c r="Z434" s="2"/>
      <c r="AA434" s="2"/>
      <c r="AB434" s="2"/>
      <c r="AC434" s="2"/>
      <c r="AD434" s="248"/>
      <c r="AE434" s="249"/>
      <c r="AF434" s="248"/>
      <c r="AG434" s="250"/>
      <c r="AH434" s="248"/>
    </row>
    <row r="435" spans="18:34" ht="15.5" x14ac:dyDescent="0.35">
      <c r="R435" s="122"/>
      <c r="S435" s="49"/>
      <c r="T435" s="49"/>
      <c r="U435" s="13"/>
      <c r="V435" s="14"/>
      <c r="W435" s="15"/>
      <c r="X435" s="16"/>
      <c r="Y435" s="1"/>
      <c r="Z435" s="2"/>
      <c r="AA435" s="2"/>
      <c r="AB435" s="38"/>
      <c r="AC435" s="38"/>
      <c r="AD435" s="248"/>
      <c r="AE435" s="251"/>
      <c r="AF435" s="248"/>
      <c r="AG435" s="248"/>
      <c r="AH435" s="248"/>
    </row>
    <row r="436" spans="18:34" ht="15.5" x14ac:dyDescent="0.35">
      <c r="R436" s="122"/>
      <c r="S436" s="49"/>
      <c r="T436" s="49"/>
      <c r="U436" s="13"/>
      <c r="V436" s="14"/>
      <c r="W436" s="15"/>
      <c r="X436" s="16"/>
      <c r="Y436" s="1"/>
      <c r="Z436" s="2"/>
      <c r="AA436" s="2"/>
      <c r="AB436" s="38"/>
      <c r="AC436" s="38"/>
      <c r="AD436" s="248"/>
      <c r="AE436" s="251"/>
      <c r="AF436" s="248"/>
      <c r="AG436" s="248"/>
      <c r="AH436" s="248"/>
    </row>
    <row r="437" spans="18:34" ht="15.5" x14ac:dyDescent="0.35">
      <c r="R437" s="122"/>
      <c r="S437" s="49"/>
      <c r="T437" s="49"/>
      <c r="U437" s="4"/>
      <c r="V437" s="5"/>
      <c r="W437" s="3"/>
      <c r="X437" s="3"/>
      <c r="Y437" s="2"/>
      <c r="Z437" s="2"/>
      <c r="AA437" s="2"/>
      <c r="AB437" s="2"/>
      <c r="AC437" s="2"/>
      <c r="AD437" s="248"/>
      <c r="AE437" s="249"/>
      <c r="AF437" s="248"/>
      <c r="AG437" s="250"/>
      <c r="AH437" s="248"/>
    </row>
    <row r="438" spans="18:34" ht="15.5" x14ac:dyDescent="0.35">
      <c r="R438" s="122"/>
      <c r="S438" s="49"/>
      <c r="T438" s="49"/>
      <c r="U438" s="4"/>
      <c r="V438" s="5"/>
      <c r="W438" s="3"/>
      <c r="X438" s="3"/>
      <c r="Y438" s="2"/>
      <c r="Z438" s="2"/>
      <c r="AA438" s="2"/>
      <c r="AB438" s="2"/>
      <c r="AC438" s="2"/>
      <c r="AD438" s="248"/>
      <c r="AE438" s="249"/>
      <c r="AF438" s="248"/>
      <c r="AG438" s="250"/>
      <c r="AH438" s="248"/>
    </row>
    <row r="439" spans="18:34" ht="15.5" x14ac:dyDescent="0.35">
      <c r="R439" s="122"/>
      <c r="S439" s="49"/>
      <c r="T439" s="49"/>
      <c r="U439" s="13"/>
      <c r="V439" s="14"/>
      <c r="W439" s="15"/>
      <c r="X439" s="16"/>
      <c r="Y439" s="1"/>
      <c r="Z439" s="2"/>
      <c r="AA439" s="2"/>
      <c r="AB439" s="38"/>
      <c r="AC439" s="38"/>
      <c r="AD439" s="248"/>
      <c r="AE439" s="251"/>
      <c r="AF439" s="248"/>
      <c r="AG439" s="248"/>
      <c r="AH439" s="248"/>
    </row>
    <row r="440" spans="18:34" ht="15.5" x14ac:dyDescent="0.35">
      <c r="R440" s="122"/>
      <c r="S440" s="49"/>
      <c r="T440" s="49"/>
      <c r="U440" s="4"/>
      <c r="V440" s="5"/>
      <c r="W440" s="3"/>
      <c r="X440" s="3"/>
      <c r="Y440" s="2"/>
      <c r="Z440" s="2"/>
      <c r="AA440" s="2"/>
      <c r="AB440" s="2"/>
      <c r="AC440" s="2"/>
      <c r="AD440" s="248"/>
      <c r="AE440" s="249"/>
      <c r="AF440" s="248"/>
      <c r="AG440" s="250"/>
      <c r="AH440" s="248"/>
    </row>
    <row r="441" spans="18:34" ht="15.5" x14ac:dyDescent="0.35">
      <c r="R441" s="122"/>
      <c r="S441" s="49"/>
      <c r="T441" s="49"/>
      <c r="U441" s="4"/>
      <c r="V441" s="5"/>
      <c r="W441" s="3"/>
      <c r="X441" s="3"/>
      <c r="Y441" s="2"/>
      <c r="Z441" s="2"/>
      <c r="AA441" s="2"/>
      <c r="AB441" s="2"/>
      <c r="AC441" s="2"/>
      <c r="AD441" s="248"/>
      <c r="AE441" s="249"/>
      <c r="AF441" s="248"/>
      <c r="AG441" s="250"/>
      <c r="AH441" s="248"/>
    </row>
    <row r="442" spans="18:34" ht="15.5" x14ac:dyDescent="0.35">
      <c r="R442" s="122"/>
      <c r="S442" s="49"/>
      <c r="T442" s="49"/>
      <c r="U442" s="13"/>
      <c r="V442" s="14"/>
      <c r="W442" s="15"/>
      <c r="X442" s="16"/>
      <c r="Y442" s="1"/>
      <c r="Z442" s="2"/>
      <c r="AA442" s="2"/>
      <c r="AB442" s="38"/>
      <c r="AC442" s="38"/>
      <c r="AD442" s="248"/>
      <c r="AE442" s="251"/>
      <c r="AF442" s="248"/>
      <c r="AG442" s="248"/>
      <c r="AH442" s="248"/>
    </row>
    <row r="443" spans="18:34" ht="15.5" x14ac:dyDescent="0.35">
      <c r="R443" s="122"/>
      <c r="S443" s="49"/>
      <c r="T443" s="49"/>
      <c r="U443" s="13"/>
      <c r="V443" s="14"/>
      <c r="W443" s="15"/>
      <c r="X443" s="16"/>
      <c r="Y443" s="1"/>
      <c r="Z443" s="2"/>
      <c r="AA443" s="2"/>
      <c r="AB443" s="38"/>
      <c r="AC443" s="38"/>
      <c r="AD443" s="248"/>
      <c r="AE443" s="251"/>
      <c r="AF443" s="248"/>
      <c r="AG443" s="248"/>
      <c r="AH443" s="248"/>
    </row>
    <row r="444" spans="18:34" ht="15.5" x14ac:dyDescent="0.35">
      <c r="R444" s="122"/>
      <c r="S444" s="49"/>
      <c r="T444" s="49"/>
      <c r="U444" s="13"/>
      <c r="V444" s="14"/>
      <c r="W444" s="15"/>
      <c r="X444" s="16"/>
      <c r="Y444" s="1"/>
      <c r="Z444" s="2"/>
      <c r="AA444" s="2"/>
      <c r="AB444" s="38"/>
      <c r="AC444" s="38"/>
      <c r="AD444" s="248"/>
      <c r="AE444" s="251"/>
      <c r="AF444" s="248"/>
      <c r="AG444" s="248"/>
      <c r="AH444" s="248"/>
    </row>
    <row r="445" spans="18:34" ht="15.5" x14ac:dyDescent="0.35">
      <c r="R445" s="122"/>
      <c r="S445" s="49"/>
      <c r="T445" s="49"/>
      <c r="U445" s="4"/>
      <c r="V445" s="5"/>
      <c r="W445" s="3"/>
      <c r="X445" s="3"/>
      <c r="Y445" s="2"/>
      <c r="Z445" s="2"/>
      <c r="AA445" s="2"/>
      <c r="AB445" s="2"/>
      <c r="AC445" s="2"/>
      <c r="AD445" s="248"/>
      <c r="AE445" s="249"/>
      <c r="AF445" s="248"/>
      <c r="AG445" s="250"/>
      <c r="AH445" s="248"/>
    </row>
    <row r="446" spans="18:34" ht="15.5" x14ac:dyDescent="0.35">
      <c r="R446" s="122"/>
      <c r="S446" s="49"/>
      <c r="T446" s="49"/>
      <c r="U446" s="13"/>
      <c r="V446" s="14"/>
      <c r="W446" s="15"/>
      <c r="X446" s="16"/>
      <c r="Y446" s="1"/>
      <c r="Z446" s="2"/>
      <c r="AA446" s="2"/>
      <c r="AB446" s="38"/>
      <c r="AC446" s="38"/>
      <c r="AD446" s="248"/>
      <c r="AE446" s="251"/>
      <c r="AF446" s="248"/>
      <c r="AG446" s="248"/>
      <c r="AH446" s="248"/>
    </row>
    <row r="447" spans="18:34" ht="15.5" x14ac:dyDescent="0.35">
      <c r="R447" s="122"/>
      <c r="S447" s="49"/>
      <c r="T447" s="49"/>
      <c r="U447" s="4"/>
      <c r="V447" s="5"/>
      <c r="W447" s="3"/>
      <c r="X447" s="3"/>
      <c r="Y447" s="2"/>
      <c r="Z447" s="2"/>
      <c r="AA447" s="2"/>
      <c r="AB447" s="2"/>
      <c r="AC447" s="2"/>
      <c r="AD447" s="248"/>
      <c r="AE447" s="249"/>
      <c r="AF447" s="248"/>
      <c r="AG447" s="250"/>
      <c r="AH447" s="248"/>
    </row>
    <row r="448" spans="18:34" ht="15.5" x14ac:dyDescent="0.35">
      <c r="R448" s="122"/>
      <c r="S448" s="49"/>
      <c r="T448" s="50"/>
      <c r="U448" s="21"/>
      <c r="V448" s="22"/>
      <c r="W448" s="15"/>
      <c r="X448" s="17"/>
      <c r="Y448" s="23"/>
      <c r="Z448" s="23"/>
      <c r="AA448" s="23"/>
      <c r="AB448" s="2"/>
      <c r="AC448" s="2"/>
      <c r="AD448" s="248"/>
      <c r="AE448" s="251"/>
      <c r="AF448" s="248"/>
      <c r="AG448" s="248"/>
      <c r="AH448" s="248"/>
    </row>
    <row r="449" spans="18:34" ht="15.5" x14ac:dyDescent="0.35">
      <c r="R449" s="122"/>
      <c r="S449" s="49"/>
      <c r="T449" s="50"/>
      <c r="U449" s="21"/>
      <c r="V449" s="22"/>
      <c r="W449" s="15"/>
      <c r="X449" s="17"/>
      <c r="Y449" s="23"/>
      <c r="Z449" s="23"/>
      <c r="AA449" s="23"/>
      <c r="AB449" s="2"/>
      <c r="AC449" s="2"/>
      <c r="AD449" s="248"/>
      <c r="AE449" s="251"/>
      <c r="AF449" s="248"/>
      <c r="AG449" s="248"/>
      <c r="AH449" s="248"/>
    </row>
    <row r="450" spans="18:34" ht="15.5" x14ac:dyDescent="0.35">
      <c r="R450" s="122"/>
      <c r="S450" s="49"/>
      <c r="T450" s="49"/>
      <c r="U450" s="13"/>
      <c r="V450" s="14"/>
      <c r="W450" s="15"/>
      <c r="X450" s="16"/>
      <c r="Y450" s="1"/>
      <c r="Z450" s="2"/>
      <c r="AA450" s="2"/>
      <c r="AB450" s="38"/>
      <c r="AC450" s="38"/>
      <c r="AD450" s="248"/>
      <c r="AE450" s="251"/>
      <c r="AF450" s="248"/>
      <c r="AG450" s="248"/>
      <c r="AH450" s="248"/>
    </row>
    <row r="451" spans="18:34" ht="15.5" x14ac:dyDescent="0.35">
      <c r="R451" s="122"/>
      <c r="S451" s="49"/>
      <c r="T451" s="49"/>
      <c r="U451" s="13"/>
      <c r="V451" s="14"/>
      <c r="W451" s="15"/>
      <c r="X451" s="16"/>
      <c r="Y451" s="1"/>
      <c r="Z451" s="2"/>
      <c r="AA451" s="2"/>
      <c r="AB451" s="38"/>
      <c r="AC451" s="38"/>
      <c r="AD451" s="248"/>
      <c r="AE451" s="251"/>
      <c r="AF451" s="248"/>
      <c r="AG451" s="248"/>
      <c r="AH451" s="248"/>
    </row>
    <row r="452" spans="18:34" ht="15.5" x14ac:dyDescent="0.35">
      <c r="R452" s="122"/>
      <c r="S452" s="49"/>
      <c r="T452" s="49"/>
      <c r="U452" s="13"/>
      <c r="V452" s="14"/>
      <c r="W452" s="15"/>
      <c r="X452" s="16"/>
      <c r="Y452" s="1"/>
      <c r="Z452" s="2"/>
      <c r="AA452" s="2"/>
      <c r="AB452" s="38"/>
      <c r="AC452" s="38"/>
      <c r="AD452" s="248"/>
      <c r="AE452" s="251"/>
      <c r="AF452" s="248"/>
      <c r="AG452" s="248"/>
      <c r="AH452" s="248"/>
    </row>
    <row r="453" spans="18:34" ht="15.5" x14ac:dyDescent="0.35">
      <c r="R453" s="122"/>
      <c r="S453" s="49"/>
      <c r="T453" s="49"/>
      <c r="U453" s="13"/>
      <c r="V453" s="14"/>
      <c r="W453" s="15"/>
      <c r="X453" s="16"/>
      <c r="Y453" s="1"/>
      <c r="Z453" s="2"/>
      <c r="AA453" s="2"/>
      <c r="AB453" s="38"/>
      <c r="AC453" s="38"/>
      <c r="AD453" s="248"/>
      <c r="AE453" s="251"/>
      <c r="AF453" s="248"/>
      <c r="AG453" s="248"/>
      <c r="AH453" s="248"/>
    </row>
    <row r="454" spans="18:34" ht="15.5" x14ac:dyDescent="0.35">
      <c r="R454" s="122"/>
      <c r="S454" s="49"/>
      <c r="T454" s="49"/>
      <c r="U454" s="13"/>
      <c r="V454" s="14"/>
      <c r="W454" s="15"/>
      <c r="X454" s="16"/>
      <c r="Y454" s="1"/>
      <c r="Z454" s="2"/>
      <c r="AA454" s="2"/>
      <c r="AB454" s="38"/>
      <c r="AC454" s="38"/>
      <c r="AD454" s="248"/>
      <c r="AE454" s="251"/>
      <c r="AF454" s="248"/>
      <c r="AG454" s="248"/>
      <c r="AH454" s="248"/>
    </row>
    <row r="455" spans="18:34" ht="15.5" x14ac:dyDescent="0.35">
      <c r="R455" s="122"/>
      <c r="S455" s="49"/>
      <c r="T455" s="49"/>
      <c r="U455" s="13"/>
      <c r="V455" s="14"/>
      <c r="W455" s="15"/>
      <c r="X455" s="16"/>
      <c r="Y455" s="1"/>
      <c r="Z455" s="2"/>
      <c r="AA455" s="2"/>
      <c r="AB455" s="38"/>
      <c r="AC455" s="38"/>
      <c r="AD455" s="248"/>
      <c r="AE455" s="251"/>
      <c r="AF455" s="248"/>
      <c r="AG455" s="248"/>
      <c r="AH455" s="248"/>
    </row>
    <row r="456" spans="18:34" ht="15.5" x14ac:dyDescent="0.35">
      <c r="R456" s="122"/>
      <c r="S456" s="49"/>
      <c r="T456" s="49"/>
      <c r="U456" s="13"/>
      <c r="V456" s="14"/>
      <c r="W456" s="15"/>
      <c r="X456" s="16"/>
      <c r="Y456" s="1"/>
      <c r="Z456" s="2"/>
      <c r="AA456" s="2"/>
      <c r="AB456" s="38"/>
      <c r="AC456" s="38"/>
      <c r="AD456" s="248"/>
      <c r="AE456" s="251"/>
      <c r="AF456" s="248"/>
      <c r="AG456" s="248"/>
      <c r="AH456" s="248"/>
    </row>
    <row r="457" spans="18:34" ht="15.5" x14ac:dyDescent="0.35">
      <c r="R457" s="122"/>
      <c r="S457" s="49"/>
      <c r="T457" s="49"/>
      <c r="U457" s="13"/>
      <c r="V457" s="14"/>
      <c r="W457" s="15"/>
      <c r="X457" s="16"/>
      <c r="Y457" s="1"/>
      <c r="Z457" s="2"/>
      <c r="AA457" s="2"/>
      <c r="AB457" s="38"/>
      <c r="AC457" s="38"/>
      <c r="AD457" s="248"/>
      <c r="AE457" s="251"/>
      <c r="AF457" s="248"/>
      <c r="AG457" s="248"/>
      <c r="AH457" s="248"/>
    </row>
    <row r="458" spans="18:34" ht="15.5" x14ac:dyDescent="0.35">
      <c r="R458" s="122"/>
      <c r="S458" s="49"/>
      <c r="T458" s="49"/>
      <c r="U458" s="13"/>
      <c r="V458" s="14"/>
      <c r="W458" s="15"/>
      <c r="X458" s="16"/>
      <c r="Y458" s="1"/>
      <c r="Z458" s="2"/>
      <c r="AA458" s="2"/>
      <c r="AB458" s="38"/>
      <c r="AC458" s="38"/>
      <c r="AD458" s="248"/>
      <c r="AE458" s="251"/>
      <c r="AF458" s="248"/>
      <c r="AG458" s="248"/>
      <c r="AH458" s="248"/>
    </row>
    <row r="459" spans="18:34" ht="15.5" x14ac:dyDescent="0.35">
      <c r="R459" s="122"/>
      <c r="S459" s="49"/>
      <c r="T459" s="49"/>
      <c r="U459" s="13"/>
      <c r="V459" s="14"/>
      <c r="W459" s="15"/>
      <c r="X459" s="16"/>
      <c r="Y459" s="1"/>
      <c r="Z459" s="2"/>
      <c r="AA459" s="2"/>
      <c r="AB459" s="38"/>
      <c r="AC459" s="38"/>
      <c r="AD459" s="248"/>
      <c r="AE459" s="251"/>
      <c r="AF459" s="248"/>
      <c r="AG459" s="248"/>
      <c r="AH459" s="248"/>
    </row>
    <row r="460" spans="18:34" ht="15.5" x14ac:dyDescent="0.35">
      <c r="R460" s="122"/>
      <c r="S460" s="49"/>
      <c r="T460" s="49"/>
      <c r="U460" s="13"/>
      <c r="V460" s="14"/>
      <c r="W460" s="15"/>
      <c r="X460" s="16"/>
      <c r="Y460" s="1"/>
      <c r="Z460" s="2"/>
      <c r="AA460" s="2"/>
      <c r="AB460" s="38"/>
      <c r="AC460" s="38"/>
      <c r="AD460" s="248"/>
      <c r="AE460" s="251"/>
      <c r="AF460" s="248"/>
      <c r="AG460" s="248"/>
      <c r="AH460" s="248"/>
    </row>
    <row r="461" spans="18:34" ht="15.5" x14ac:dyDescent="0.35">
      <c r="R461" s="122"/>
      <c r="S461" s="49"/>
      <c r="T461" s="49"/>
      <c r="U461" s="13"/>
      <c r="V461" s="14"/>
      <c r="W461" s="15"/>
      <c r="X461" s="16"/>
      <c r="Y461" s="27"/>
      <c r="Z461" s="27"/>
      <c r="AA461" s="27"/>
      <c r="AB461" s="38"/>
      <c r="AC461" s="38"/>
      <c r="AD461" s="248"/>
      <c r="AE461" s="256"/>
      <c r="AF461" s="248"/>
      <c r="AG461" s="248"/>
      <c r="AH461" s="248"/>
    </row>
    <row r="462" spans="18:34" ht="15.5" x14ac:dyDescent="0.35">
      <c r="R462" s="122"/>
      <c r="S462" s="49"/>
      <c r="T462" s="49"/>
      <c r="U462" s="13"/>
      <c r="V462" s="14"/>
      <c r="W462" s="15"/>
      <c r="X462" s="16"/>
      <c r="Y462" s="27"/>
      <c r="Z462" s="27"/>
      <c r="AA462" s="27"/>
      <c r="AB462" s="38"/>
      <c r="AC462" s="38"/>
      <c r="AD462" s="248"/>
      <c r="AE462" s="256"/>
      <c r="AF462" s="248"/>
      <c r="AG462" s="248"/>
      <c r="AH462" s="248"/>
    </row>
    <row r="463" spans="18:34" ht="15.5" x14ac:dyDescent="0.35">
      <c r="R463" s="122"/>
      <c r="S463" s="49"/>
      <c r="T463" s="49"/>
      <c r="U463" s="13"/>
      <c r="V463" s="14"/>
      <c r="W463" s="15"/>
      <c r="X463" s="16"/>
      <c r="Y463" s="27"/>
      <c r="Z463" s="27"/>
      <c r="AA463" s="27"/>
      <c r="AB463" s="38"/>
      <c r="AC463" s="38"/>
      <c r="AD463" s="248"/>
      <c r="AE463" s="256"/>
      <c r="AF463" s="248"/>
      <c r="AG463" s="248"/>
      <c r="AH463" s="248"/>
    </row>
    <row r="464" spans="18:34" ht="15.5" x14ac:dyDescent="0.35">
      <c r="R464" s="122"/>
      <c r="S464" s="49"/>
      <c r="T464" s="49"/>
      <c r="U464" s="13"/>
      <c r="V464" s="14"/>
      <c r="W464" s="15"/>
      <c r="X464" s="16"/>
      <c r="Y464" s="27"/>
      <c r="Z464" s="27"/>
      <c r="AA464" s="27"/>
      <c r="AB464" s="38"/>
      <c r="AC464" s="38"/>
      <c r="AD464" s="248"/>
      <c r="AE464" s="256"/>
      <c r="AF464" s="248"/>
      <c r="AG464" s="248"/>
      <c r="AH464" s="248"/>
    </row>
    <row r="465" spans="18:34" ht="15.5" x14ac:dyDescent="0.35">
      <c r="R465" s="122"/>
      <c r="S465" s="49"/>
      <c r="T465" s="49"/>
      <c r="U465" s="13"/>
      <c r="V465" s="14"/>
      <c r="W465" s="15"/>
      <c r="X465" s="16"/>
      <c r="Y465" s="27"/>
      <c r="Z465" s="27"/>
      <c r="AA465" s="27"/>
      <c r="AB465" s="38"/>
      <c r="AC465" s="38"/>
      <c r="AD465" s="248"/>
      <c r="AE465" s="256"/>
      <c r="AF465" s="248"/>
      <c r="AG465" s="248"/>
      <c r="AH465" s="248"/>
    </row>
    <row r="466" spans="18:34" ht="15.5" x14ac:dyDescent="0.35">
      <c r="R466" s="122"/>
      <c r="S466" s="49"/>
      <c r="T466" s="49"/>
      <c r="U466" s="13"/>
      <c r="V466" s="14"/>
      <c r="W466" s="15"/>
      <c r="X466" s="16"/>
      <c r="Y466" s="27"/>
      <c r="Z466" s="27"/>
      <c r="AA466" s="27"/>
      <c r="AB466" s="38"/>
      <c r="AC466" s="38"/>
      <c r="AD466" s="248"/>
      <c r="AE466" s="256"/>
      <c r="AF466" s="248"/>
      <c r="AG466" s="248"/>
      <c r="AH466" s="248"/>
    </row>
    <row r="467" spans="18:34" ht="15.5" x14ac:dyDescent="0.35">
      <c r="R467" s="122"/>
      <c r="S467" s="49"/>
      <c r="T467" s="49"/>
      <c r="U467" s="13"/>
      <c r="V467" s="14"/>
      <c r="W467" s="15"/>
      <c r="X467" s="16"/>
      <c r="Y467" s="27"/>
      <c r="Z467" s="27"/>
      <c r="AA467" s="27"/>
      <c r="AB467" s="38"/>
      <c r="AC467" s="38"/>
      <c r="AD467" s="248"/>
      <c r="AE467" s="256"/>
      <c r="AF467" s="248"/>
      <c r="AG467" s="248"/>
      <c r="AH467" s="248"/>
    </row>
    <row r="468" spans="18:34" ht="15.5" x14ac:dyDescent="0.35">
      <c r="R468" s="122"/>
      <c r="S468" s="49"/>
      <c r="T468" s="49"/>
      <c r="U468" s="13"/>
      <c r="V468" s="14"/>
      <c r="W468" s="15"/>
      <c r="X468" s="16"/>
      <c r="Y468" s="1"/>
      <c r="Z468" s="2"/>
      <c r="AA468" s="2"/>
      <c r="AB468" s="38"/>
      <c r="AC468" s="38"/>
      <c r="AD468" s="248"/>
      <c r="AE468" s="251"/>
      <c r="AF468" s="248"/>
      <c r="AG468" s="248"/>
      <c r="AH468" s="248"/>
    </row>
    <row r="469" spans="18:34" ht="15.5" x14ac:dyDescent="0.35">
      <c r="R469" s="122"/>
      <c r="S469" s="49"/>
      <c r="T469" s="49"/>
      <c r="U469" s="13"/>
      <c r="V469" s="14"/>
      <c r="W469" s="15"/>
      <c r="X469" s="16"/>
      <c r="Y469" s="1"/>
      <c r="Z469" s="2"/>
      <c r="AA469" s="2"/>
      <c r="AB469" s="38"/>
      <c r="AC469" s="38"/>
      <c r="AD469" s="248"/>
      <c r="AE469" s="251"/>
      <c r="AF469" s="248"/>
      <c r="AG469" s="248"/>
      <c r="AH469" s="248"/>
    </row>
    <row r="470" spans="18:34" ht="15.5" x14ac:dyDescent="0.35">
      <c r="R470" s="122"/>
      <c r="S470" s="49"/>
      <c r="T470" s="49"/>
      <c r="U470" s="13"/>
      <c r="V470" s="14"/>
      <c r="W470" s="15"/>
      <c r="X470" s="16"/>
      <c r="Y470" s="1"/>
      <c r="Z470" s="2"/>
      <c r="AA470" s="2"/>
      <c r="AB470" s="38"/>
      <c r="AC470" s="38"/>
      <c r="AD470" s="248"/>
      <c r="AE470" s="251"/>
      <c r="AF470" s="248"/>
      <c r="AG470" s="248"/>
      <c r="AH470" s="248"/>
    </row>
    <row r="471" spans="18:34" ht="15.5" x14ac:dyDescent="0.35">
      <c r="R471" s="122"/>
      <c r="S471" s="49"/>
      <c r="T471" s="49"/>
      <c r="U471" s="13"/>
      <c r="V471" s="14"/>
      <c r="W471" s="15"/>
      <c r="X471" s="16"/>
      <c r="Y471" s="1"/>
      <c r="Z471" s="2"/>
      <c r="AA471" s="2"/>
      <c r="AB471" s="38"/>
      <c r="AC471" s="38"/>
      <c r="AD471" s="248"/>
      <c r="AE471" s="251"/>
      <c r="AF471" s="248"/>
      <c r="AG471" s="248"/>
      <c r="AH471" s="248"/>
    </row>
    <row r="472" spans="18:34" ht="15.5" x14ac:dyDescent="0.35">
      <c r="R472" s="122"/>
      <c r="S472" s="49"/>
      <c r="T472" s="49"/>
      <c r="U472" s="13"/>
      <c r="V472" s="14"/>
      <c r="W472" s="15"/>
      <c r="X472" s="16"/>
      <c r="Y472" s="1"/>
      <c r="Z472" s="2"/>
      <c r="AA472" s="2"/>
      <c r="AB472" s="38"/>
      <c r="AC472" s="38"/>
      <c r="AD472" s="248"/>
      <c r="AE472" s="251"/>
      <c r="AF472" s="248"/>
      <c r="AG472" s="248"/>
      <c r="AH472" s="248"/>
    </row>
    <row r="473" spans="18:34" ht="15.5" x14ac:dyDescent="0.35">
      <c r="R473" s="122"/>
      <c r="S473" s="49"/>
      <c r="T473" s="49"/>
      <c r="U473" s="13"/>
      <c r="V473" s="14"/>
      <c r="W473" s="15"/>
      <c r="X473" s="16"/>
      <c r="Y473" s="1"/>
      <c r="Z473" s="2"/>
      <c r="AA473" s="2"/>
      <c r="AB473" s="38"/>
      <c r="AC473" s="38"/>
      <c r="AD473" s="248"/>
      <c r="AE473" s="251"/>
      <c r="AF473" s="248"/>
      <c r="AG473" s="248"/>
      <c r="AH473" s="248"/>
    </row>
    <row r="474" spans="18:34" ht="15.5" x14ac:dyDescent="0.35">
      <c r="R474" s="122"/>
      <c r="S474" s="49"/>
      <c r="T474" s="49"/>
      <c r="U474" s="13"/>
      <c r="V474" s="14"/>
      <c r="W474" s="15"/>
      <c r="X474" s="16"/>
      <c r="Y474" s="1"/>
      <c r="Z474" s="2"/>
      <c r="AA474" s="2"/>
      <c r="AB474" s="38"/>
      <c r="AC474" s="38"/>
      <c r="AD474" s="248"/>
      <c r="AE474" s="251"/>
      <c r="AF474" s="248"/>
      <c r="AG474" s="248"/>
      <c r="AH474" s="248"/>
    </row>
    <row r="475" spans="18:34" ht="15.5" x14ac:dyDescent="0.35">
      <c r="R475" s="122"/>
      <c r="S475" s="49"/>
      <c r="T475" s="49"/>
      <c r="U475" s="13"/>
      <c r="V475" s="14"/>
      <c r="W475" s="15"/>
      <c r="X475" s="16"/>
      <c r="Y475" s="1"/>
      <c r="Z475" s="2"/>
      <c r="AA475" s="2"/>
      <c r="AB475" s="38"/>
      <c r="AC475" s="38"/>
      <c r="AD475" s="248"/>
      <c r="AE475" s="251"/>
      <c r="AF475" s="248"/>
      <c r="AG475" s="248"/>
      <c r="AH475" s="248"/>
    </row>
    <row r="476" spans="18:34" ht="15.5" x14ac:dyDescent="0.35">
      <c r="R476" s="122"/>
      <c r="S476" s="49"/>
      <c r="T476" s="49"/>
      <c r="U476" s="4"/>
      <c r="V476" s="5"/>
      <c r="W476" s="3"/>
      <c r="X476" s="3"/>
      <c r="Y476" s="2"/>
      <c r="Z476" s="2"/>
      <c r="AA476" s="2"/>
      <c r="AB476" s="2"/>
      <c r="AC476" s="2"/>
      <c r="AD476" s="248"/>
      <c r="AE476" s="249"/>
      <c r="AF476" s="248"/>
      <c r="AG476" s="248"/>
      <c r="AH476" s="248"/>
    </row>
    <row r="477" spans="18:34" ht="15.5" x14ac:dyDescent="0.35">
      <c r="R477" s="122"/>
      <c r="S477" s="49"/>
      <c r="T477" s="49"/>
      <c r="U477" s="4"/>
      <c r="V477" s="5"/>
      <c r="W477" s="3"/>
      <c r="X477" s="3"/>
      <c r="Y477" s="2"/>
      <c r="Z477" s="2"/>
      <c r="AA477" s="2"/>
      <c r="AB477" s="2"/>
      <c r="AC477" s="2"/>
      <c r="AD477" s="248"/>
      <c r="AE477" s="249"/>
      <c r="AF477" s="248"/>
      <c r="AG477" s="248"/>
      <c r="AH477" s="248"/>
    </row>
    <row r="478" spans="18:34" ht="15.5" x14ac:dyDescent="0.35">
      <c r="R478" s="122"/>
      <c r="S478" s="49"/>
      <c r="T478" s="49"/>
      <c r="U478" s="4"/>
      <c r="V478" s="5"/>
      <c r="W478" s="3"/>
      <c r="X478" s="3"/>
      <c r="Y478" s="2"/>
      <c r="Z478" s="2"/>
      <c r="AA478" s="2"/>
      <c r="AB478" s="2"/>
      <c r="AC478" s="2"/>
      <c r="AD478" s="248"/>
      <c r="AE478" s="249"/>
      <c r="AF478" s="248"/>
      <c r="AG478" s="250"/>
      <c r="AH478" s="248"/>
    </row>
    <row r="479" spans="18:34" ht="15.5" x14ac:dyDescent="0.35">
      <c r="R479" s="122"/>
      <c r="S479" s="49"/>
      <c r="T479" s="49"/>
      <c r="U479" s="13"/>
      <c r="V479" s="14"/>
      <c r="W479" s="15"/>
      <c r="X479" s="16"/>
      <c r="Y479" s="27"/>
      <c r="Z479" s="27"/>
      <c r="AA479" s="27"/>
      <c r="AB479" s="38"/>
      <c r="AC479" s="38"/>
      <c r="AD479" s="248"/>
      <c r="AE479" s="256"/>
      <c r="AF479" s="248"/>
      <c r="AG479" s="257"/>
      <c r="AH479" s="248"/>
    </row>
    <row r="480" spans="18:34" ht="15.5" x14ac:dyDescent="0.35">
      <c r="R480" s="122"/>
      <c r="S480" s="49"/>
      <c r="T480" s="49"/>
      <c r="U480" s="4"/>
      <c r="V480" s="5"/>
      <c r="W480" s="3"/>
      <c r="X480" s="3"/>
      <c r="Y480" s="2"/>
      <c r="Z480" s="2"/>
      <c r="AA480" s="2"/>
      <c r="AB480" s="2"/>
      <c r="AC480" s="2"/>
      <c r="AD480" s="248"/>
      <c r="AE480" s="249"/>
      <c r="AF480" s="248"/>
      <c r="AG480" s="250"/>
      <c r="AH480" s="248"/>
    </row>
    <row r="481" spans="18:34" ht="15.5" x14ac:dyDescent="0.35">
      <c r="R481" s="122"/>
      <c r="S481" s="49"/>
      <c r="T481" s="49"/>
      <c r="U481" s="13"/>
      <c r="V481" s="14"/>
      <c r="W481" s="15"/>
      <c r="X481" s="16"/>
      <c r="Y481" s="1"/>
      <c r="Z481" s="2"/>
      <c r="AA481" s="2"/>
      <c r="AB481" s="38"/>
      <c r="AC481" s="38"/>
      <c r="AD481" s="248"/>
      <c r="AE481" s="251"/>
      <c r="AF481" s="248"/>
      <c r="AG481" s="248"/>
      <c r="AH481" s="248"/>
    </row>
    <row r="482" spans="18:34" ht="15.5" x14ac:dyDescent="0.35">
      <c r="R482" s="122"/>
      <c r="S482" s="49"/>
      <c r="T482" s="49"/>
      <c r="U482" s="13"/>
      <c r="V482" s="14"/>
      <c r="W482" s="15"/>
      <c r="X482" s="16"/>
      <c r="Y482" s="1"/>
      <c r="Z482" s="2"/>
      <c r="AA482" s="2"/>
      <c r="AB482" s="38"/>
      <c r="AC482" s="38"/>
      <c r="AD482" s="248"/>
      <c r="AE482" s="251"/>
      <c r="AF482" s="248"/>
      <c r="AG482" s="248"/>
      <c r="AH482" s="248"/>
    </row>
    <row r="483" spans="18:34" ht="15.5" x14ac:dyDescent="0.35">
      <c r="R483" s="122"/>
      <c r="S483" s="49"/>
      <c r="T483" s="49"/>
      <c r="U483" s="4"/>
      <c r="V483" s="5"/>
      <c r="W483" s="3"/>
      <c r="X483" s="3"/>
      <c r="Y483" s="2"/>
      <c r="Z483" s="2"/>
      <c r="AA483" s="2"/>
      <c r="AB483" s="2"/>
      <c r="AC483" s="2"/>
      <c r="AD483" s="248"/>
      <c r="AE483" s="249"/>
      <c r="AF483" s="248"/>
      <c r="AG483" s="250"/>
      <c r="AH483" s="248"/>
    </row>
    <row r="484" spans="18:34" ht="15.5" x14ac:dyDescent="0.35">
      <c r="R484" s="122"/>
      <c r="S484" s="49"/>
      <c r="T484" s="49"/>
      <c r="U484" s="4"/>
      <c r="V484" s="5"/>
      <c r="W484" s="3"/>
      <c r="X484" s="3"/>
      <c r="Y484" s="2"/>
      <c r="Z484" s="2"/>
      <c r="AA484" s="2"/>
      <c r="AB484" s="2"/>
      <c r="AC484" s="2"/>
      <c r="AD484" s="248"/>
      <c r="AE484" s="249"/>
      <c r="AF484" s="248"/>
      <c r="AG484" s="250"/>
      <c r="AH484" s="248"/>
    </row>
    <row r="485" spans="18:34" ht="15.5" x14ac:dyDescent="0.35">
      <c r="R485" s="122"/>
      <c r="S485" s="49"/>
      <c r="T485" s="49"/>
      <c r="U485" s="4"/>
      <c r="V485" s="5"/>
      <c r="W485" s="3"/>
      <c r="X485" s="3"/>
      <c r="Y485" s="2"/>
      <c r="Z485" s="2"/>
      <c r="AA485" s="2"/>
      <c r="AB485" s="2"/>
      <c r="AC485" s="2"/>
      <c r="AD485" s="248"/>
      <c r="AE485" s="249"/>
      <c r="AF485" s="248"/>
      <c r="AG485" s="250"/>
      <c r="AH485" s="248"/>
    </row>
    <row r="486" spans="18:34" ht="15.5" x14ac:dyDescent="0.35">
      <c r="R486" s="122"/>
      <c r="S486" s="49"/>
      <c r="T486" s="49"/>
      <c r="U486" s="13"/>
      <c r="V486" s="14"/>
      <c r="W486" s="15"/>
      <c r="X486" s="16"/>
      <c r="Y486" s="27"/>
      <c r="Z486" s="27"/>
      <c r="AA486" s="27"/>
      <c r="AB486" s="38"/>
      <c r="AC486" s="38"/>
      <c r="AD486" s="248"/>
      <c r="AE486" s="256"/>
      <c r="AF486" s="248"/>
      <c r="AG486" s="257"/>
      <c r="AH486" s="248"/>
    </row>
    <row r="487" spans="18:34" ht="15.5" x14ac:dyDescent="0.35">
      <c r="R487" s="122"/>
      <c r="S487" s="49"/>
      <c r="T487" s="49"/>
      <c r="U487" s="13"/>
      <c r="V487" s="14"/>
      <c r="W487" s="15"/>
      <c r="X487" s="16"/>
      <c r="Y487" s="27"/>
      <c r="Z487" s="27"/>
      <c r="AA487" s="27"/>
      <c r="AB487" s="38"/>
      <c r="AC487" s="38"/>
      <c r="AD487" s="248"/>
      <c r="AE487" s="256"/>
      <c r="AF487" s="248"/>
      <c r="AG487" s="257"/>
      <c r="AH487" s="248"/>
    </row>
    <row r="488" spans="18:34" ht="15.5" x14ac:dyDescent="0.35">
      <c r="R488" s="122"/>
      <c r="S488" s="49"/>
      <c r="T488" s="49"/>
      <c r="U488" s="13"/>
      <c r="V488" s="14"/>
      <c r="W488" s="15"/>
      <c r="X488" s="16"/>
      <c r="Y488" s="1"/>
      <c r="Z488" s="2"/>
      <c r="AA488" s="2"/>
      <c r="AB488" s="38"/>
      <c r="AC488" s="38"/>
      <c r="AD488" s="248"/>
      <c r="AE488" s="251"/>
      <c r="AF488" s="248"/>
      <c r="AG488" s="248"/>
      <c r="AH488" s="248"/>
    </row>
    <row r="489" spans="18:34" ht="15.5" x14ac:dyDescent="0.35">
      <c r="R489" s="122"/>
      <c r="S489" s="49"/>
      <c r="T489" s="49"/>
      <c r="U489" s="13"/>
      <c r="V489" s="14"/>
      <c r="W489" s="15"/>
      <c r="X489" s="16"/>
      <c r="Y489" s="1"/>
      <c r="Z489" s="2"/>
      <c r="AA489" s="2"/>
      <c r="AB489" s="38"/>
      <c r="AC489" s="38"/>
      <c r="AD489" s="248"/>
      <c r="AE489" s="251"/>
      <c r="AF489" s="248"/>
      <c r="AG489" s="248"/>
      <c r="AH489" s="248"/>
    </row>
    <row r="490" spans="18:34" ht="15.5" x14ac:dyDescent="0.35">
      <c r="R490" s="122"/>
      <c r="S490" s="49"/>
      <c r="T490" s="49"/>
      <c r="U490" s="13"/>
      <c r="V490" s="14"/>
      <c r="W490" s="15"/>
      <c r="X490" s="16"/>
      <c r="Y490" s="1"/>
      <c r="Z490" s="2"/>
      <c r="AA490" s="2"/>
      <c r="AB490" s="38"/>
      <c r="AC490" s="38"/>
      <c r="AD490" s="248"/>
      <c r="AE490" s="251"/>
      <c r="AF490" s="248"/>
      <c r="AG490" s="248"/>
      <c r="AH490" s="248"/>
    </row>
    <row r="491" spans="18:34" ht="15.5" x14ac:dyDescent="0.35">
      <c r="R491" s="122"/>
      <c r="S491" s="49"/>
      <c r="T491" s="49"/>
      <c r="U491" s="4"/>
      <c r="V491" s="5"/>
      <c r="W491" s="3"/>
      <c r="X491" s="3"/>
      <c r="Y491" s="2"/>
      <c r="Z491" s="2"/>
      <c r="AA491" s="2"/>
      <c r="AB491" s="2"/>
      <c r="AC491" s="2"/>
      <c r="AD491" s="248"/>
      <c r="AE491" s="249"/>
      <c r="AF491" s="248"/>
      <c r="AG491" s="250"/>
      <c r="AH491" s="248"/>
    </row>
    <row r="492" spans="18:34" ht="15.5" x14ac:dyDescent="0.35">
      <c r="R492" s="122"/>
      <c r="S492" s="49"/>
      <c r="T492" s="49"/>
      <c r="U492" s="13"/>
      <c r="V492" s="14"/>
      <c r="W492" s="15"/>
      <c r="X492" s="16"/>
      <c r="Y492" s="1"/>
      <c r="Z492" s="2"/>
      <c r="AA492" s="2"/>
      <c r="AB492" s="38"/>
      <c r="AC492" s="38"/>
      <c r="AD492" s="248"/>
      <c r="AE492" s="251"/>
      <c r="AF492" s="248"/>
      <c r="AG492" s="248"/>
      <c r="AH492" s="248"/>
    </row>
    <row r="493" spans="18:34" ht="15.5" x14ac:dyDescent="0.35">
      <c r="R493" s="122"/>
      <c r="S493" s="49"/>
      <c r="T493" s="49"/>
      <c r="U493" s="13"/>
      <c r="V493" s="14"/>
      <c r="W493" s="15"/>
      <c r="X493" s="16"/>
      <c r="Y493" s="1"/>
      <c r="Z493" s="2"/>
      <c r="AA493" s="2"/>
      <c r="AB493" s="38"/>
      <c r="AC493" s="38"/>
      <c r="AD493" s="248"/>
      <c r="AE493" s="251"/>
      <c r="AF493" s="248"/>
      <c r="AG493" s="248"/>
      <c r="AH493" s="248"/>
    </row>
    <row r="494" spans="18:34" ht="15.5" x14ac:dyDescent="0.35">
      <c r="R494" s="122"/>
      <c r="S494" s="49"/>
      <c r="T494" s="49"/>
      <c r="U494" s="13"/>
      <c r="V494" s="14"/>
      <c r="W494" s="15"/>
      <c r="X494" s="16"/>
      <c r="Y494" s="1"/>
      <c r="Z494" s="2"/>
      <c r="AA494" s="2"/>
      <c r="AB494" s="38"/>
      <c r="AC494" s="38"/>
      <c r="AD494" s="248"/>
      <c r="AE494" s="251"/>
      <c r="AF494" s="248"/>
      <c r="AG494" s="248"/>
      <c r="AH494" s="248"/>
    </row>
    <row r="495" spans="18:34" ht="15.5" x14ac:dyDescent="0.35">
      <c r="R495" s="122"/>
      <c r="S495" s="49"/>
      <c r="T495" s="49"/>
      <c r="U495" s="13"/>
      <c r="V495" s="14"/>
      <c r="W495" s="15"/>
      <c r="X495" s="16"/>
      <c r="Y495" s="1"/>
      <c r="Z495" s="2"/>
      <c r="AA495" s="2"/>
      <c r="AB495" s="38"/>
      <c r="AC495" s="38"/>
      <c r="AD495" s="248"/>
      <c r="AE495" s="251"/>
      <c r="AF495" s="248"/>
      <c r="AG495" s="248"/>
      <c r="AH495" s="248"/>
    </row>
    <row r="496" spans="18:34" ht="15.5" x14ac:dyDescent="0.35">
      <c r="R496" s="122"/>
      <c r="S496" s="49"/>
      <c r="T496" s="49"/>
      <c r="U496" s="4"/>
      <c r="V496" s="5"/>
      <c r="W496" s="3"/>
      <c r="X496" s="3"/>
      <c r="Y496" s="2"/>
      <c r="Z496" s="2"/>
      <c r="AA496" s="2"/>
      <c r="AB496" s="2"/>
      <c r="AC496" s="2"/>
      <c r="AD496" s="248"/>
      <c r="AE496" s="249"/>
      <c r="AF496" s="248"/>
      <c r="AG496" s="250"/>
      <c r="AH496" s="248"/>
    </row>
    <row r="497" spans="18:34" ht="15.5" x14ac:dyDescent="0.35">
      <c r="R497" s="122"/>
      <c r="S497" s="49"/>
      <c r="T497" s="49"/>
      <c r="U497" s="13"/>
      <c r="V497" s="14"/>
      <c r="W497" s="15"/>
      <c r="X497" s="16"/>
      <c r="Y497" s="1"/>
      <c r="Z497" s="2"/>
      <c r="AA497" s="2"/>
      <c r="AB497" s="38"/>
      <c r="AC497" s="38"/>
      <c r="AD497" s="248"/>
      <c r="AE497" s="251"/>
      <c r="AF497" s="248"/>
      <c r="AG497" s="248"/>
      <c r="AH497" s="248"/>
    </row>
    <row r="498" spans="18:34" ht="15.5" x14ac:dyDescent="0.35">
      <c r="R498" s="122"/>
      <c r="S498" s="49"/>
      <c r="T498" s="49"/>
      <c r="U498" s="4"/>
      <c r="V498" s="5"/>
      <c r="W498" s="3"/>
      <c r="X498" s="3"/>
      <c r="Y498" s="2"/>
      <c r="Z498" s="2"/>
      <c r="AA498" s="2"/>
      <c r="AB498" s="2"/>
      <c r="AC498" s="2"/>
      <c r="AD498" s="248"/>
      <c r="AE498" s="249"/>
      <c r="AF498" s="248"/>
      <c r="AG498" s="250"/>
      <c r="AH498" s="248"/>
    </row>
    <row r="499" spans="18:34" ht="15.5" x14ac:dyDescent="0.35">
      <c r="R499" s="122"/>
      <c r="S499" s="49"/>
      <c r="T499" s="49"/>
      <c r="U499" s="13"/>
      <c r="V499" s="14"/>
      <c r="W499" s="15"/>
      <c r="X499" s="16"/>
      <c r="Y499" s="1"/>
      <c r="Z499" s="2"/>
      <c r="AA499" s="2"/>
      <c r="AB499" s="38"/>
      <c r="AC499" s="38"/>
      <c r="AD499" s="248"/>
      <c r="AE499" s="251"/>
      <c r="AF499" s="248"/>
      <c r="AG499" s="248"/>
      <c r="AH499" s="248"/>
    </row>
    <row r="500" spans="18:34" ht="15.5" x14ac:dyDescent="0.35">
      <c r="R500" s="122"/>
      <c r="S500" s="49"/>
      <c r="T500" s="49"/>
      <c r="U500" s="13"/>
      <c r="V500" s="14"/>
      <c r="W500" s="15"/>
      <c r="X500" s="16"/>
      <c r="Y500" s="27"/>
      <c r="Z500" s="27"/>
      <c r="AA500" s="27"/>
      <c r="AB500" s="38"/>
      <c r="AC500" s="38"/>
      <c r="AD500" s="248"/>
      <c r="AE500" s="256"/>
      <c r="AF500" s="248"/>
      <c r="AG500" s="257"/>
      <c r="AH500" s="248"/>
    </row>
    <row r="501" spans="18:34" ht="15.5" x14ac:dyDescent="0.35">
      <c r="R501" s="122"/>
      <c r="S501" s="49"/>
      <c r="T501" s="49"/>
      <c r="U501" s="13"/>
      <c r="V501" s="14"/>
      <c r="W501" s="15"/>
      <c r="X501" s="16"/>
      <c r="Y501" s="1"/>
      <c r="Z501" s="2"/>
      <c r="AA501" s="2"/>
      <c r="AB501" s="38"/>
      <c r="AC501" s="38"/>
      <c r="AD501" s="248"/>
      <c r="AE501" s="251"/>
      <c r="AF501" s="248"/>
      <c r="AG501" s="248"/>
      <c r="AH501" s="248"/>
    </row>
    <row r="502" spans="18:34" ht="15.5" x14ac:dyDescent="0.35">
      <c r="R502" s="122"/>
      <c r="S502" s="49"/>
      <c r="T502" s="49"/>
      <c r="U502" s="4"/>
      <c r="V502" s="5"/>
      <c r="W502" s="3"/>
      <c r="X502" s="3"/>
      <c r="Y502" s="2"/>
      <c r="Z502" s="2"/>
      <c r="AA502" s="2"/>
      <c r="AB502" s="2"/>
      <c r="AC502" s="2"/>
      <c r="AD502" s="248"/>
      <c r="AE502" s="249"/>
      <c r="AF502" s="248"/>
      <c r="AG502" s="250"/>
      <c r="AH502" s="248"/>
    </row>
    <row r="503" spans="18:34" ht="15.5" x14ac:dyDescent="0.35">
      <c r="R503" s="122"/>
      <c r="S503" s="49"/>
      <c r="T503" s="49"/>
      <c r="U503" s="13"/>
      <c r="V503" s="14"/>
      <c r="W503" s="15"/>
      <c r="X503" s="16"/>
      <c r="Y503" s="1"/>
      <c r="Z503" s="2"/>
      <c r="AA503" s="2"/>
      <c r="AB503" s="38"/>
      <c r="AC503" s="38"/>
      <c r="AD503" s="248"/>
      <c r="AE503" s="251"/>
      <c r="AF503" s="248"/>
      <c r="AG503" s="248"/>
      <c r="AH503" s="248"/>
    </row>
    <row r="504" spans="18:34" ht="15.5" x14ac:dyDescent="0.35">
      <c r="R504" s="122"/>
      <c r="S504" s="49"/>
      <c r="T504" s="49"/>
      <c r="U504" s="4"/>
      <c r="V504" s="5"/>
      <c r="W504" s="3"/>
      <c r="X504" s="3"/>
      <c r="Y504" s="2"/>
      <c r="Z504" s="2"/>
      <c r="AA504" s="2"/>
      <c r="AB504" s="2"/>
      <c r="AC504" s="2"/>
      <c r="AD504" s="248"/>
      <c r="AE504" s="249"/>
      <c r="AF504" s="248"/>
      <c r="AG504" s="250"/>
      <c r="AH504" s="248"/>
    </row>
    <row r="505" spans="18:34" ht="15.5" x14ac:dyDescent="0.35">
      <c r="R505" s="122"/>
      <c r="S505" s="49"/>
      <c r="T505" s="49"/>
      <c r="U505" s="13"/>
      <c r="V505" s="14"/>
      <c r="W505" s="15"/>
      <c r="X505" s="16"/>
      <c r="Y505" s="1"/>
      <c r="Z505" s="2"/>
      <c r="AA505" s="2"/>
      <c r="AB505" s="38"/>
      <c r="AC505" s="38"/>
      <c r="AD505" s="248"/>
      <c r="AE505" s="251"/>
      <c r="AF505" s="248"/>
      <c r="AG505" s="248"/>
      <c r="AH505" s="248"/>
    </row>
    <row r="506" spans="18:34" ht="15.5" x14ac:dyDescent="0.35">
      <c r="R506" s="122"/>
      <c r="S506" s="49"/>
      <c r="T506" s="49"/>
      <c r="U506" s="4"/>
      <c r="V506" s="5"/>
      <c r="W506" s="3"/>
      <c r="X506" s="3"/>
      <c r="Y506" s="2"/>
      <c r="Z506" s="2"/>
      <c r="AA506" s="2"/>
      <c r="AB506" s="2"/>
      <c r="AC506" s="2"/>
      <c r="AD506" s="250"/>
      <c r="AE506" s="258"/>
      <c r="AF506" s="248"/>
      <c r="AG506" s="250"/>
      <c r="AH506" s="264"/>
    </row>
    <row r="507" spans="18:34" ht="15.5" x14ac:dyDescent="0.35">
      <c r="R507" s="122"/>
      <c r="S507" s="49"/>
      <c r="T507" s="49"/>
      <c r="U507" s="13"/>
      <c r="V507" s="14"/>
      <c r="W507" s="15"/>
      <c r="X507" s="16"/>
      <c r="Y507" s="1"/>
      <c r="Z507" s="2"/>
      <c r="AA507" s="2"/>
      <c r="AB507" s="38"/>
      <c r="AC507" s="38"/>
      <c r="AD507" s="248"/>
      <c r="AE507" s="251"/>
      <c r="AF507" s="248"/>
      <c r="AG507" s="248"/>
      <c r="AH507" s="248"/>
    </row>
    <row r="508" spans="18:34" ht="15.5" x14ac:dyDescent="0.35">
      <c r="R508" s="122"/>
      <c r="S508" s="49"/>
      <c r="T508" s="49"/>
      <c r="U508" s="13"/>
      <c r="V508" s="14"/>
      <c r="W508" s="15"/>
      <c r="X508" s="16"/>
      <c r="Y508" s="27"/>
      <c r="Z508" s="27"/>
      <c r="AA508" s="27"/>
      <c r="AB508" s="38"/>
      <c r="AC508" s="38"/>
      <c r="AD508" s="248"/>
      <c r="AE508" s="256"/>
      <c r="AF508" s="248"/>
      <c r="AG508" s="248"/>
      <c r="AH508" s="248"/>
    </row>
    <row r="509" spans="18:34" ht="15.5" x14ac:dyDescent="0.35">
      <c r="R509" s="122"/>
      <c r="S509" s="49"/>
      <c r="T509" s="49"/>
      <c r="U509" s="13"/>
      <c r="V509" s="14"/>
      <c r="W509" s="15"/>
      <c r="X509" s="16"/>
      <c r="Y509" s="1"/>
      <c r="Z509" s="2"/>
      <c r="AA509" s="2"/>
      <c r="AB509" s="38"/>
      <c r="AC509" s="38"/>
      <c r="AD509" s="248"/>
      <c r="AE509" s="251"/>
      <c r="AF509" s="248"/>
      <c r="AG509" s="248"/>
      <c r="AH509" s="248"/>
    </row>
    <row r="510" spans="18:34" ht="15.5" x14ac:dyDescent="0.35">
      <c r="R510" s="122"/>
      <c r="S510" s="49"/>
      <c r="T510" s="49"/>
      <c r="U510" s="4"/>
      <c r="V510" s="5"/>
      <c r="W510" s="3"/>
      <c r="X510" s="3"/>
      <c r="Y510" s="2"/>
      <c r="Z510" s="2"/>
      <c r="AA510" s="2"/>
      <c r="AB510" s="2"/>
      <c r="AC510" s="2"/>
      <c r="AD510" s="250"/>
      <c r="AE510" s="258"/>
      <c r="AF510" s="248"/>
      <c r="AG510" s="250"/>
      <c r="AH510" s="264"/>
    </row>
    <row r="511" spans="18:34" ht="15.5" x14ac:dyDescent="0.35">
      <c r="R511" s="122"/>
      <c r="S511" s="49"/>
      <c r="T511" s="49"/>
      <c r="U511" s="13"/>
      <c r="V511" s="14"/>
      <c r="W511" s="15"/>
      <c r="X511" s="16"/>
      <c r="Y511" s="1"/>
      <c r="Z511" s="2"/>
      <c r="AA511" s="2"/>
      <c r="AB511" s="38"/>
      <c r="AC511" s="38"/>
      <c r="AD511" s="248"/>
      <c r="AE511" s="251"/>
      <c r="AF511" s="248"/>
      <c r="AG511" s="248"/>
      <c r="AH511" s="248"/>
    </row>
    <row r="512" spans="18:34" ht="15.5" x14ac:dyDescent="0.35">
      <c r="R512" s="122"/>
      <c r="S512" s="49"/>
      <c r="T512" s="49"/>
      <c r="U512" s="4"/>
      <c r="V512" s="5"/>
      <c r="W512" s="3"/>
      <c r="X512" s="3"/>
      <c r="Y512" s="2"/>
      <c r="Z512" s="2"/>
      <c r="AA512" s="2"/>
      <c r="AB512" s="2"/>
      <c r="AC512" s="2"/>
      <c r="AD512" s="248"/>
      <c r="AE512" s="249"/>
      <c r="AF512" s="248"/>
      <c r="AG512" s="250"/>
      <c r="AH512" s="248"/>
    </row>
    <row r="513" spans="18:34" ht="15.5" x14ac:dyDescent="0.35">
      <c r="R513" s="122"/>
      <c r="S513" s="49"/>
      <c r="T513" s="49"/>
      <c r="U513" s="4"/>
      <c r="V513" s="5"/>
      <c r="W513" s="3"/>
      <c r="X513" s="3"/>
      <c r="Y513" s="2"/>
      <c r="Z513" s="2"/>
      <c r="AA513" s="2"/>
      <c r="AB513" s="2"/>
      <c r="AC513" s="2"/>
      <c r="AD513" s="248"/>
      <c r="AE513" s="249"/>
      <c r="AF513" s="248"/>
      <c r="AG513" s="250"/>
      <c r="AH513" s="248"/>
    </row>
    <row r="514" spans="18:34" ht="15.5" x14ac:dyDescent="0.35">
      <c r="R514" s="122"/>
      <c r="S514" s="49"/>
      <c r="T514" s="49"/>
      <c r="U514" s="13"/>
      <c r="V514" s="14"/>
      <c r="W514" s="15"/>
      <c r="X514" s="16"/>
      <c r="Y514" s="1"/>
      <c r="Z514" s="2"/>
      <c r="AA514" s="2"/>
      <c r="AB514" s="38"/>
      <c r="AC514" s="38"/>
      <c r="AD514" s="248"/>
      <c r="AE514" s="251"/>
      <c r="AF514" s="248"/>
      <c r="AG514" s="248"/>
      <c r="AH514" s="248"/>
    </row>
    <row r="515" spans="18:34" ht="15.5" x14ac:dyDescent="0.35">
      <c r="R515" s="122"/>
      <c r="S515" s="49"/>
      <c r="T515" s="49"/>
      <c r="U515" s="4"/>
      <c r="V515" s="5"/>
      <c r="W515" s="3"/>
      <c r="X515" s="3"/>
      <c r="Y515" s="2"/>
      <c r="Z515" s="2"/>
      <c r="AA515" s="2"/>
      <c r="AB515" s="2"/>
      <c r="AC515" s="2"/>
      <c r="AD515" s="248"/>
      <c r="AE515" s="249"/>
      <c r="AF515" s="248"/>
      <c r="AG515" s="250"/>
      <c r="AH515" s="248"/>
    </row>
    <row r="516" spans="18:34" ht="15.5" x14ac:dyDescent="0.35">
      <c r="R516" s="122"/>
      <c r="S516" s="49"/>
      <c r="T516" s="49"/>
      <c r="U516" s="13"/>
      <c r="V516" s="14"/>
      <c r="W516" s="15"/>
      <c r="X516" s="16"/>
      <c r="Y516" s="1"/>
      <c r="Z516" s="2"/>
      <c r="AA516" s="2"/>
      <c r="AB516" s="38"/>
      <c r="AC516" s="38"/>
      <c r="AD516" s="248"/>
      <c r="AE516" s="251"/>
      <c r="AF516" s="248"/>
      <c r="AG516" s="248"/>
      <c r="AH516" s="248"/>
    </row>
    <row r="517" spans="18:34" ht="15.5" x14ac:dyDescent="0.35">
      <c r="R517" s="122"/>
      <c r="S517" s="49"/>
      <c r="T517" s="49"/>
      <c r="U517" s="13"/>
      <c r="V517" s="14"/>
      <c r="W517" s="15"/>
      <c r="X517" s="16"/>
      <c r="Y517" s="1"/>
      <c r="Z517" s="2"/>
      <c r="AA517" s="2"/>
      <c r="AB517" s="38"/>
      <c r="AC517" s="38"/>
      <c r="AD517" s="248"/>
      <c r="AE517" s="251"/>
      <c r="AF517" s="248"/>
      <c r="AG517" s="248"/>
      <c r="AH517" s="248"/>
    </row>
    <row r="518" spans="18:34" ht="15.5" x14ac:dyDescent="0.35">
      <c r="R518" s="122"/>
      <c r="S518" s="49"/>
      <c r="T518" s="49"/>
      <c r="U518" s="13"/>
      <c r="V518" s="14"/>
      <c r="W518" s="15"/>
      <c r="X518" s="16"/>
      <c r="Y518" s="1"/>
      <c r="Z518" s="2"/>
      <c r="AA518" s="2"/>
      <c r="AB518" s="38"/>
      <c r="AC518" s="38"/>
      <c r="AD518" s="248"/>
      <c r="AE518" s="251"/>
      <c r="AF518" s="248"/>
      <c r="AG518" s="248"/>
      <c r="AH518" s="248"/>
    </row>
    <row r="519" spans="18:34" ht="15.5" x14ac:dyDescent="0.35">
      <c r="R519" s="122"/>
      <c r="S519" s="49"/>
      <c r="T519" s="49"/>
      <c r="U519" s="13"/>
      <c r="V519" s="14"/>
      <c r="W519" s="15"/>
      <c r="X519" s="16"/>
      <c r="Y519" s="1"/>
      <c r="Z519" s="2"/>
      <c r="AA519" s="2"/>
      <c r="AB519" s="38"/>
      <c r="AC519" s="38"/>
      <c r="AD519" s="248"/>
      <c r="AE519" s="251"/>
      <c r="AF519" s="248"/>
      <c r="AG519" s="248"/>
      <c r="AH519" s="248"/>
    </row>
    <row r="520" spans="18:34" ht="15.5" x14ac:dyDescent="0.35">
      <c r="R520" s="122"/>
      <c r="S520" s="49"/>
      <c r="T520" s="49"/>
      <c r="U520" s="13"/>
      <c r="V520" s="14"/>
      <c r="W520" s="15"/>
      <c r="X520" s="16"/>
      <c r="Y520" s="1"/>
      <c r="Z520" s="2"/>
      <c r="AA520" s="2"/>
      <c r="AB520" s="38"/>
      <c r="AC520" s="38"/>
      <c r="AD520" s="248"/>
      <c r="AE520" s="251"/>
      <c r="AF520" s="248"/>
      <c r="AG520" s="248"/>
      <c r="AH520" s="248"/>
    </row>
    <row r="521" spans="18:34" ht="15.5" x14ac:dyDescent="0.35">
      <c r="R521" s="122"/>
      <c r="S521" s="49"/>
      <c r="T521" s="49"/>
      <c r="U521" s="4"/>
      <c r="V521" s="5"/>
      <c r="W521" s="3"/>
      <c r="X521" s="3"/>
      <c r="Y521" s="2"/>
      <c r="Z521" s="2"/>
      <c r="AA521" s="2"/>
      <c r="AB521" s="2"/>
      <c r="AC521" s="2"/>
      <c r="AD521" s="248"/>
      <c r="AE521" s="249"/>
      <c r="AF521" s="248"/>
      <c r="AG521" s="250"/>
      <c r="AH521" s="248"/>
    </row>
    <row r="522" spans="18:34" ht="15.5" x14ac:dyDescent="0.35">
      <c r="R522" s="122"/>
      <c r="S522" s="49"/>
      <c r="T522" s="49"/>
      <c r="U522" s="13"/>
      <c r="V522" s="14"/>
      <c r="W522" s="15"/>
      <c r="X522" s="16"/>
      <c r="Y522" s="1"/>
      <c r="Z522" s="2"/>
      <c r="AA522" s="2"/>
      <c r="AB522" s="38"/>
      <c r="AC522" s="38"/>
      <c r="AD522" s="248"/>
      <c r="AE522" s="251"/>
      <c r="AF522" s="248"/>
      <c r="AG522" s="248"/>
      <c r="AH522" s="248"/>
    </row>
    <row r="523" spans="18:34" ht="15.5" x14ac:dyDescent="0.35">
      <c r="R523" s="122"/>
      <c r="S523" s="49"/>
      <c r="T523" s="49"/>
      <c r="U523" s="4"/>
      <c r="V523" s="5"/>
      <c r="W523" s="3"/>
      <c r="X523" s="3"/>
      <c r="Y523" s="2"/>
      <c r="Z523" s="2"/>
      <c r="AA523" s="2"/>
      <c r="AB523" s="2"/>
      <c r="AC523" s="2"/>
      <c r="AD523" s="248"/>
      <c r="AE523" s="249"/>
      <c r="AF523" s="248"/>
      <c r="AG523" s="250"/>
      <c r="AH523" s="248"/>
    </row>
    <row r="524" spans="18:34" ht="15.5" x14ac:dyDescent="0.35">
      <c r="R524" s="122"/>
      <c r="S524" s="49"/>
      <c r="T524" s="49"/>
      <c r="U524" s="13"/>
      <c r="V524" s="14"/>
      <c r="W524" s="15"/>
      <c r="X524" s="16"/>
      <c r="Y524" s="1"/>
      <c r="Z524" s="2"/>
      <c r="AA524" s="2"/>
      <c r="AB524" s="38"/>
      <c r="AC524" s="38"/>
      <c r="AD524" s="248"/>
      <c r="AE524" s="251"/>
      <c r="AF524" s="248"/>
      <c r="AG524" s="248"/>
      <c r="AH524" s="248"/>
    </row>
    <row r="525" spans="18:34" ht="15.5" x14ac:dyDescent="0.35">
      <c r="R525" s="122"/>
      <c r="S525" s="49"/>
      <c r="T525" s="49"/>
      <c r="U525" s="13"/>
      <c r="V525" s="14"/>
      <c r="W525" s="15"/>
      <c r="X525" s="16"/>
      <c r="Y525" s="1"/>
      <c r="Z525" s="2"/>
      <c r="AA525" s="2"/>
      <c r="AB525" s="38"/>
      <c r="AC525" s="38"/>
      <c r="AD525" s="248"/>
      <c r="AE525" s="251"/>
      <c r="AF525" s="248"/>
      <c r="AG525" s="248"/>
      <c r="AH525" s="248"/>
    </row>
    <row r="526" spans="18:34" ht="15.5" x14ac:dyDescent="0.35">
      <c r="R526" s="122"/>
      <c r="S526" s="49"/>
      <c r="T526" s="49"/>
      <c r="U526" s="4"/>
      <c r="V526" s="5"/>
      <c r="W526" s="3"/>
      <c r="X526" s="3"/>
      <c r="Y526" s="2"/>
      <c r="Z526" s="2"/>
      <c r="AA526" s="2"/>
      <c r="AB526" s="2"/>
      <c r="AC526" s="2"/>
      <c r="AD526" s="248"/>
      <c r="AE526" s="249"/>
      <c r="AF526" s="248"/>
      <c r="AG526" s="250"/>
      <c r="AH526" s="248"/>
    </row>
    <row r="527" spans="18:34" ht="15.5" x14ac:dyDescent="0.35">
      <c r="R527" s="122"/>
      <c r="S527" s="49"/>
      <c r="T527" s="49"/>
      <c r="U527" s="4"/>
      <c r="V527" s="5"/>
      <c r="W527" s="3"/>
      <c r="X527" s="3"/>
      <c r="Y527" s="2"/>
      <c r="Z527" s="2"/>
      <c r="AA527" s="2"/>
      <c r="AB527" s="2"/>
      <c r="AC527" s="2"/>
      <c r="AD527" s="248"/>
      <c r="AE527" s="249"/>
      <c r="AF527" s="248"/>
      <c r="AG527" s="250"/>
      <c r="AH527" s="248"/>
    </row>
    <row r="528" spans="18:34" ht="15.5" x14ac:dyDescent="0.35">
      <c r="R528" s="122"/>
      <c r="S528" s="49"/>
      <c r="T528" s="49"/>
      <c r="U528" s="4"/>
      <c r="V528" s="5"/>
      <c r="W528" s="3"/>
      <c r="X528" s="3"/>
      <c r="Y528" s="2"/>
      <c r="Z528" s="2"/>
      <c r="AA528" s="2"/>
      <c r="AB528" s="2"/>
      <c r="AC528" s="2"/>
      <c r="AD528" s="248"/>
      <c r="AE528" s="249"/>
      <c r="AF528" s="248"/>
      <c r="AG528" s="250"/>
      <c r="AH528" s="248"/>
    </row>
    <row r="529" spans="18:34" ht="15.5" x14ac:dyDescent="0.35">
      <c r="R529" s="122"/>
      <c r="S529" s="49"/>
      <c r="T529" s="49"/>
      <c r="U529" s="4"/>
      <c r="V529" s="5"/>
      <c r="W529" s="3"/>
      <c r="X529" s="3"/>
      <c r="Y529" s="2"/>
      <c r="Z529" s="2"/>
      <c r="AA529" s="2"/>
      <c r="AB529" s="2"/>
      <c r="AC529" s="2"/>
      <c r="AD529" s="248"/>
      <c r="AE529" s="249"/>
      <c r="AF529" s="248"/>
      <c r="AG529" s="250"/>
      <c r="AH529" s="248"/>
    </row>
    <row r="530" spans="18:34" ht="15.5" x14ac:dyDescent="0.35">
      <c r="R530" s="122"/>
      <c r="S530" s="49"/>
      <c r="T530" s="49"/>
      <c r="U530" s="13"/>
      <c r="V530" s="14"/>
      <c r="W530" s="15"/>
      <c r="X530" s="16"/>
      <c r="Y530" s="1"/>
      <c r="Z530" s="2"/>
      <c r="AA530" s="2"/>
      <c r="AB530" s="38"/>
      <c r="AC530" s="38"/>
      <c r="AD530" s="248"/>
      <c r="AE530" s="251"/>
      <c r="AF530" s="248"/>
      <c r="AG530" s="248"/>
      <c r="AH530" s="248"/>
    </row>
    <row r="531" spans="18:34" ht="15.5" x14ac:dyDescent="0.35">
      <c r="R531" s="122"/>
      <c r="S531" s="49"/>
      <c r="T531" s="49"/>
      <c r="U531" s="13"/>
      <c r="V531" s="14"/>
      <c r="W531" s="15"/>
      <c r="X531" s="16"/>
      <c r="Y531" s="1"/>
      <c r="Z531" s="2"/>
      <c r="AA531" s="2"/>
      <c r="AB531" s="38"/>
      <c r="AC531" s="38"/>
      <c r="AD531" s="248"/>
      <c r="AE531" s="251"/>
      <c r="AF531" s="248"/>
      <c r="AG531" s="248"/>
      <c r="AH531" s="248"/>
    </row>
    <row r="532" spans="18:34" ht="15.5" x14ac:dyDescent="0.35">
      <c r="R532" s="122"/>
      <c r="S532" s="49"/>
      <c r="T532" s="49"/>
      <c r="U532" s="4"/>
      <c r="V532" s="5"/>
      <c r="W532" s="3"/>
      <c r="X532" s="3"/>
      <c r="Y532" s="2"/>
      <c r="Z532" s="2"/>
      <c r="AA532" s="2"/>
      <c r="AB532" s="2"/>
      <c r="AC532" s="2"/>
      <c r="AD532" s="248"/>
      <c r="AE532" s="249"/>
      <c r="AF532" s="248"/>
      <c r="AG532" s="250"/>
      <c r="AH532" s="248"/>
    </row>
    <row r="533" spans="18:34" ht="15.5" x14ac:dyDescent="0.35">
      <c r="R533" s="122"/>
      <c r="S533" s="49"/>
      <c r="T533" s="49"/>
      <c r="U533" s="13"/>
      <c r="V533" s="14"/>
      <c r="W533" s="15"/>
      <c r="X533" s="16"/>
      <c r="Y533" s="1"/>
      <c r="Z533" s="2"/>
      <c r="AA533" s="2"/>
      <c r="AB533" s="38"/>
      <c r="AC533" s="38"/>
      <c r="AD533" s="248"/>
      <c r="AE533" s="251"/>
      <c r="AF533" s="248"/>
      <c r="AG533" s="248"/>
      <c r="AH533" s="248"/>
    </row>
    <row r="534" spans="18:34" ht="15.5" x14ac:dyDescent="0.35">
      <c r="R534" s="122"/>
      <c r="S534" s="49"/>
      <c r="T534" s="49"/>
      <c r="U534" s="13"/>
      <c r="V534" s="14"/>
      <c r="W534" s="15"/>
      <c r="X534" s="16"/>
      <c r="Y534" s="1"/>
      <c r="Z534" s="2"/>
      <c r="AA534" s="2"/>
      <c r="AB534" s="38"/>
      <c r="AC534" s="38"/>
      <c r="AD534" s="248"/>
      <c r="AE534" s="251"/>
      <c r="AF534" s="248"/>
      <c r="AG534" s="248"/>
      <c r="AH534" s="248"/>
    </row>
    <row r="535" spans="18:34" ht="15.5" x14ac:dyDescent="0.35">
      <c r="R535" s="122"/>
      <c r="S535" s="49"/>
      <c r="T535" s="49"/>
      <c r="U535" s="13"/>
      <c r="V535" s="14"/>
      <c r="W535" s="15"/>
      <c r="X535" s="16"/>
      <c r="Y535" s="1"/>
      <c r="Z535" s="2"/>
      <c r="AA535" s="2"/>
      <c r="AB535" s="38"/>
      <c r="AC535" s="38"/>
      <c r="AD535" s="248"/>
      <c r="AE535" s="251"/>
      <c r="AF535" s="248"/>
      <c r="AG535" s="248"/>
      <c r="AH535" s="248"/>
    </row>
    <row r="536" spans="18:34" ht="15.5" x14ac:dyDescent="0.35">
      <c r="R536" s="122"/>
      <c r="S536" s="49"/>
      <c r="T536" s="49"/>
      <c r="U536" s="4"/>
      <c r="V536" s="5"/>
      <c r="W536" s="3"/>
      <c r="X536" s="3"/>
      <c r="Y536" s="2"/>
      <c r="Z536" s="2"/>
      <c r="AA536" s="2"/>
      <c r="AB536" s="2"/>
      <c r="AC536" s="2"/>
      <c r="AD536" s="248"/>
      <c r="AE536" s="249"/>
      <c r="AF536" s="248"/>
      <c r="AG536" s="250"/>
      <c r="AH536" s="248"/>
    </row>
    <row r="537" spans="18:34" ht="15.5" x14ac:dyDescent="0.35">
      <c r="R537" s="122"/>
      <c r="S537" s="49"/>
      <c r="T537" s="49"/>
      <c r="U537" s="4"/>
      <c r="V537" s="5"/>
      <c r="W537" s="3"/>
      <c r="X537" s="3"/>
      <c r="Y537" s="2"/>
      <c r="Z537" s="2"/>
      <c r="AA537" s="2"/>
      <c r="AB537" s="2"/>
      <c r="AC537" s="2"/>
      <c r="AD537" s="248"/>
      <c r="AE537" s="249"/>
      <c r="AF537" s="248"/>
      <c r="AG537" s="250"/>
      <c r="AH537" s="248"/>
    </row>
    <row r="538" spans="18:34" ht="15.5" x14ac:dyDescent="0.35">
      <c r="R538" s="122"/>
      <c r="S538" s="49"/>
      <c r="T538" s="49"/>
      <c r="U538" s="4"/>
      <c r="V538" s="5"/>
      <c r="W538" s="3"/>
      <c r="X538" s="3"/>
      <c r="Y538" s="2"/>
      <c r="Z538" s="2"/>
      <c r="AA538" s="2"/>
      <c r="AB538" s="2"/>
      <c r="AC538" s="2"/>
      <c r="AD538" s="248"/>
      <c r="AE538" s="249"/>
      <c r="AF538" s="248"/>
      <c r="AG538" s="250"/>
      <c r="AH538" s="248"/>
    </row>
    <row r="539" spans="18:34" ht="15.5" x14ac:dyDescent="0.35">
      <c r="R539" s="122"/>
      <c r="S539" s="49"/>
      <c r="T539" s="49"/>
      <c r="U539" s="4"/>
      <c r="V539" s="5"/>
      <c r="W539" s="3"/>
      <c r="X539" s="3"/>
      <c r="Y539" s="2"/>
      <c r="Z539" s="2"/>
      <c r="AA539" s="2"/>
      <c r="AB539" s="2"/>
      <c r="AC539" s="2"/>
      <c r="AD539" s="248"/>
      <c r="AE539" s="249"/>
      <c r="AF539" s="248"/>
      <c r="AG539" s="250"/>
      <c r="AH539" s="248"/>
    </row>
    <row r="540" spans="18:34" ht="15.5" x14ac:dyDescent="0.35">
      <c r="R540" s="122"/>
      <c r="S540" s="49"/>
      <c r="T540" s="49"/>
      <c r="U540" s="13"/>
      <c r="V540" s="14"/>
      <c r="W540" s="15"/>
      <c r="X540" s="16"/>
      <c r="Y540" s="27"/>
      <c r="Z540" s="27"/>
      <c r="AA540" s="27"/>
      <c r="AB540" s="38"/>
      <c r="AC540" s="38"/>
      <c r="AD540" s="248"/>
      <c r="AE540" s="256"/>
      <c r="AF540" s="248"/>
      <c r="AG540" s="257"/>
      <c r="AH540" s="248"/>
    </row>
    <row r="541" spans="18:34" ht="15.5" x14ac:dyDescent="0.35">
      <c r="R541" s="122"/>
      <c r="S541" s="49"/>
      <c r="T541" s="49"/>
      <c r="U541" s="13"/>
      <c r="V541" s="14"/>
      <c r="W541" s="15"/>
      <c r="X541" s="16"/>
      <c r="Y541" s="27"/>
      <c r="Z541" s="27"/>
      <c r="AA541" s="27"/>
      <c r="AB541" s="38"/>
      <c r="AC541" s="38"/>
      <c r="AD541" s="248"/>
      <c r="AE541" s="256"/>
      <c r="AF541" s="248"/>
      <c r="AG541" s="257"/>
      <c r="AH541" s="248"/>
    </row>
    <row r="542" spans="18:34" ht="15.5" x14ac:dyDescent="0.35">
      <c r="R542" s="122"/>
      <c r="S542" s="49"/>
      <c r="T542" s="49"/>
      <c r="U542" s="13"/>
      <c r="V542" s="14"/>
      <c r="W542" s="15"/>
      <c r="X542" s="16"/>
      <c r="Y542" s="27"/>
      <c r="Z542" s="27"/>
      <c r="AA542" s="27"/>
      <c r="AB542" s="38"/>
      <c r="AC542" s="38"/>
      <c r="AD542" s="248"/>
      <c r="AE542" s="256"/>
      <c r="AF542" s="248"/>
      <c r="AG542" s="257"/>
      <c r="AH542" s="248"/>
    </row>
    <row r="543" spans="18:34" ht="15.5" x14ac:dyDescent="0.35">
      <c r="R543" s="122"/>
      <c r="S543" s="49"/>
      <c r="T543" s="49"/>
      <c r="U543" s="13"/>
      <c r="V543" s="14"/>
      <c r="W543" s="15"/>
      <c r="X543" s="16"/>
      <c r="Y543" s="27"/>
      <c r="Z543" s="27"/>
      <c r="AA543" s="27"/>
      <c r="AB543" s="38"/>
      <c r="AC543" s="38"/>
      <c r="AD543" s="248"/>
      <c r="AE543" s="256"/>
      <c r="AF543" s="248"/>
      <c r="AG543" s="257"/>
      <c r="AH543" s="248"/>
    </row>
    <row r="544" spans="18:34" ht="15.5" x14ac:dyDescent="0.35">
      <c r="R544" s="122"/>
      <c r="S544" s="49"/>
      <c r="T544" s="49"/>
      <c r="U544" s="13"/>
      <c r="V544" s="14"/>
      <c r="W544" s="15"/>
      <c r="X544" s="16"/>
      <c r="Y544" s="27"/>
      <c r="Z544" s="27"/>
      <c r="AA544" s="27"/>
      <c r="AB544" s="38"/>
      <c r="AC544" s="38"/>
      <c r="AD544" s="248"/>
      <c r="AE544" s="256"/>
      <c r="AF544" s="248"/>
      <c r="AG544" s="257"/>
      <c r="AH544" s="248"/>
    </row>
    <row r="545" spans="18:34" ht="15.5" x14ac:dyDescent="0.35">
      <c r="R545" s="122"/>
      <c r="S545" s="49"/>
      <c r="T545" s="49"/>
      <c r="U545" s="13"/>
      <c r="V545" s="14"/>
      <c r="W545" s="15"/>
      <c r="X545" s="16"/>
      <c r="Y545" s="27"/>
      <c r="Z545" s="27"/>
      <c r="AA545" s="27"/>
      <c r="AB545" s="38"/>
      <c r="AC545" s="38"/>
      <c r="AD545" s="248"/>
      <c r="AE545" s="256"/>
      <c r="AF545" s="248"/>
      <c r="AG545" s="257"/>
      <c r="AH545" s="248"/>
    </row>
    <row r="546" spans="18:34" ht="15.5" x14ac:dyDescent="0.35">
      <c r="R546" s="122"/>
      <c r="S546" s="49"/>
      <c r="T546" s="49"/>
      <c r="U546" s="13"/>
      <c r="V546" s="14"/>
      <c r="W546" s="15"/>
      <c r="X546" s="16"/>
      <c r="Y546" s="27"/>
      <c r="Z546" s="27"/>
      <c r="AA546" s="27"/>
      <c r="AB546" s="38"/>
      <c r="AC546" s="38"/>
      <c r="AD546" s="248"/>
      <c r="AE546" s="256"/>
      <c r="AF546" s="248"/>
      <c r="AG546" s="257"/>
      <c r="AH546" s="248"/>
    </row>
    <row r="547" spans="18:34" ht="15.5" x14ac:dyDescent="0.35">
      <c r="R547" s="122"/>
      <c r="S547" s="49"/>
      <c r="T547" s="49"/>
      <c r="U547" s="13"/>
      <c r="V547" s="14"/>
      <c r="W547" s="15"/>
      <c r="X547" s="16"/>
      <c r="Y547" s="27"/>
      <c r="Z547" s="27"/>
      <c r="AA547" s="27"/>
      <c r="AB547" s="38"/>
      <c r="AC547" s="38"/>
      <c r="AD547" s="248"/>
      <c r="AE547" s="256"/>
      <c r="AF547" s="248"/>
      <c r="AG547" s="257"/>
      <c r="AH547" s="248"/>
    </row>
    <row r="548" spans="18:34" ht="15.5" x14ac:dyDescent="0.35">
      <c r="R548" s="122"/>
      <c r="S548" s="49"/>
      <c r="T548" s="49"/>
      <c r="U548" s="13"/>
      <c r="V548" s="14"/>
      <c r="W548" s="15"/>
      <c r="X548" s="16"/>
      <c r="Y548" s="27"/>
      <c r="Z548" s="27"/>
      <c r="AA548" s="27"/>
      <c r="AB548" s="38"/>
      <c r="AC548" s="38"/>
      <c r="AD548" s="248"/>
      <c r="AE548" s="256"/>
      <c r="AF548" s="248"/>
      <c r="AG548" s="257"/>
      <c r="AH548" s="248"/>
    </row>
    <row r="549" spans="18:34" ht="15.5" x14ac:dyDescent="0.35">
      <c r="R549" s="122"/>
      <c r="S549" s="49"/>
      <c r="T549" s="49"/>
      <c r="U549" s="13"/>
      <c r="V549" s="14"/>
      <c r="W549" s="15"/>
      <c r="X549" s="16"/>
      <c r="Y549" s="27"/>
      <c r="Z549" s="27"/>
      <c r="AA549" s="27"/>
      <c r="AB549" s="38"/>
      <c r="AC549" s="38"/>
      <c r="AD549" s="248"/>
      <c r="AE549" s="256"/>
      <c r="AF549" s="248"/>
      <c r="AG549" s="257"/>
      <c r="AH549" s="248"/>
    </row>
    <row r="550" spans="18:34" ht="15.5" x14ac:dyDescent="0.35">
      <c r="R550" s="122"/>
      <c r="S550" s="49"/>
      <c r="T550" s="49"/>
      <c r="U550" s="13"/>
      <c r="V550" s="14"/>
      <c r="W550" s="15"/>
      <c r="X550" s="16"/>
      <c r="Y550" s="1"/>
      <c r="Z550" s="2"/>
      <c r="AA550" s="2"/>
      <c r="AB550" s="38"/>
      <c r="AC550" s="38"/>
      <c r="AD550" s="248"/>
      <c r="AE550" s="251"/>
      <c r="AF550" s="248"/>
      <c r="AG550" s="248"/>
      <c r="AH550" s="248"/>
    </row>
    <row r="551" spans="18:34" ht="15.5" x14ac:dyDescent="0.35">
      <c r="R551" s="122"/>
      <c r="S551" s="49"/>
      <c r="T551" s="49"/>
      <c r="U551" s="13"/>
      <c r="V551" s="14"/>
      <c r="W551" s="15"/>
      <c r="X551" s="16"/>
      <c r="Y551" s="1"/>
      <c r="Z551" s="2"/>
      <c r="AA551" s="2"/>
      <c r="AB551" s="38"/>
      <c r="AC551" s="38"/>
      <c r="AD551" s="248"/>
      <c r="AE551" s="251"/>
      <c r="AF551" s="248"/>
      <c r="AG551" s="248"/>
      <c r="AH551" s="248"/>
    </row>
    <row r="552" spans="18:34" ht="15.5" x14ac:dyDescent="0.35">
      <c r="R552" s="122"/>
      <c r="S552" s="49"/>
      <c r="T552" s="49"/>
      <c r="U552" s="13"/>
      <c r="V552" s="14"/>
      <c r="W552" s="15"/>
      <c r="X552" s="16"/>
      <c r="Y552" s="1"/>
      <c r="Z552" s="2"/>
      <c r="AA552" s="2"/>
      <c r="AB552" s="38"/>
      <c r="AC552" s="38"/>
      <c r="AD552" s="248"/>
      <c r="AE552" s="251"/>
      <c r="AF552" s="248"/>
      <c r="AG552" s="248"/>
      <c r="AH552" s="248"/>
    </row>
    <row r="553" spans="18:34" ht="15.5" x14ac:dyDescent="0.35">
      <c r="R553" s="122"/>
      <c r="S553" s="49"/>
      <c r="T553" s="49"/>
      <c r="U553" s="4"/>
      <c r="V553" s="5"/>
      <c r="W553" s="3"/>
      <c r="X553" s="3"/>
      <c r="Y553" s="2"/>
      <c r="Z553" s="2"/>
      <c r="AA553" s="2"/>
      <c r="AB553" s="2"/>
      <c r="AC553" s="2"/>
      <c r="AD553" s="248"/>
      <c r="AE553" s="249"/>
      <c r="AF553" s="248"/>
      <c r="AG553" s="250"/>
      <c r="AH553" s="248"/>
    </row>
    <row r="554" spans="18:34" ht="15.5" x14ac:dyDescent="0.35">
      <c r="R554" s="122"/>
      <c r="S554" s="49"/>
      <c r="T554" s="49"/>
      <c r="U554" s="13"/>
      <c r="V554" s="14"/>
      <c r="W554" s="15"/>
      <c r="X554" s="16"/>
      <c r="Y554" s="1"/>
      <c r="Z554" s="2"/>
      <c r="AA554" s="2"/>
      <c r="AB554" s="38"/>
      <c r="AC554" s="38"/>
      <c r="AD554" s="248"/>
      <c r="AE554" s="251"/>
      <c r="AF554" s="248"/>
      <c r="AG554" s="248"/>
      <c r="AH554" s="248"/>
    </row>
    <row r="555" spans="18:34" ht="15.5" x14ac:dyDescent="0.35">
      <c r="R555" s="122"/>
      <c r="S555" s="49"/>
      <c r="T555" s="49"/>
      <c r="U555" s="13"/>
      <c r="V555" s="14"/>
      <c r="W555" s="15"/>
      <c r="X555" s="16"/>
      <c r="Y555" s="1"/>
      <c r="Z555" s="2"/>
      <c r="AA555" s="2"/>
      <c r="AB555" s="38"/>
      <c r="AC555" s="38"/>
      <c r="AD555" s="248"/>
      <c r="AE555" s="251"/>
      <c r="AF555" s="248"/>
      <c r="AG555" s="248"/>
      <c r="AH555" s="248"/>
    </row>
    <row r="556" spans="18:34" ht="15.5" x14ac:dyDescent="0.35">
      <c r="R556" s="122"/>
      <c r="S556" s="49"/>
      <c r="T556" s="49"/>
      <c r="U556" s="4"/>
      <c r="V556" s="5"/>
      <c r="W556" s="3"/>
      <c r="X556" s="3"/>
      <c r="Y556" s="2"/>
      <c r="Z556" s="2"/>
      <c r="AA556" s="2"/>
      <c r="AB556" s="2"/>
      <c r="AC556" s="2"/>
      <c r="AD556" s="248"/>
      <c r="AE556" s="249"/>
      <c r="AF556" s="248"/>
      <c r="AG556" s="250"/>
      <c r="AH556" s="248"/>
    </row>
    <row r="557" spans="18:34" ht="15.5" x14ac:dyDescent="0.35">
      <c r="R557" s="122"/>
      <c r="S557" s="49"/>
      <c r="T557" s="49"/>
      <c r="U557" s="13"/>
      <c r="V557" s="14"/>
      <c r="W557" s="15"/>
      <c r="X557" s="16"/>
      <c r="Y557" s="27"/>
      <c r="Z557" s="27"/>
      <c r="AA557" s="27"/>
      <c r="AB557" s="38"/>
      <c r="AC557" s="38"/>
      <c r="AD557" s="248"/>
      <c r="AE557" s="256"/>
      <c r="AF557" s="248"/>
      <c r="AG557" s="257"/>
      <c r="AH557" s="248"/>
    </row>
    <row r="558" spans="18:34" ht="15.5" x14ac:dyDescent="0.35">
      <c r="R558" s="122"/>
      <c r="S558" s="49"/>
      <c r="T558" s="49"/>
      <c r="U558" s="13"/>
      <c r="V558" s="14"/>
      <c r="W558" s="15"/>
      <c r="X558" s="16"/>
      <c r="Y558" s="1"/>
      <c r="Z558" s="2"/>
      <c r="AA558" s="2"/>
      <c r="AB558" s="38"/>
      <c r="AC558" s="38"/>
      <c r="AD558" s="248"/>
      <c r="AE558" s="251"/>
      <c r="AF558" s="248"/>
      <c r="AG558" s="248"/>
      <c r="AH558" s="248"/>
    </row>
    <row r="559" spans="18:34" ht="15.5" x14ac:dyDescent="0.35">
      <c r="R559" s="122"/>
      <c r="S559" s="49"/>
      <c r="T559" s="49"/>
      <c r="U559" s="4"/>
      <c r="V559" s="5"/>
      <c r="W559" s="3"/>
      <c r="X559" s="3"/>
      <c r="Y559" s="2"/>
      <c r="Z559" s="2"/>
      <c r="AA559" s="2"/>
      <c r="AB559" s="2"/>
      <c r="AC559" s="2"/>
      <c r="AD559" s="248"/>
      <c r="AE559" s="249"/>
      <c r="AF559" s="248"/>
      <c r="AG559" s="250"/>
      <c r="AH559" s="248"/>
    </row>
    <row r="560" spans="18:34" ht="15.5" x14ac:dyDescent="0.35">
      <c r="R560" s="122"/>
      <c r="S560" s="49"/>
      <c r="T560" s="49"/>
      <c r="U560" s="4"/>
      <c r="V560" s="5"/>
      <c r="W560" s="3"/>
      <c r="X560" s="3"/>
      <c r="Y560" s="2"/>
      <c r="Z560" s="2"/>
      <c r="AA560" s="2"/>
      <c r="AB560" s="2"/>
      <c r="AC560" s="2"/>
      <c r="AD560" s="248"/>
      <c r="AE560" s="249"/>
      <c r="AF560" s="248"/>
      <c r="AG560" s="250"/>
      <c r="AH560" s="248"/>
    </row>
    <row r="561" spans="18:34" ht="15.5" x14ac:dyDescent="0.35">
      <c r="R561" s="122"/>
      <c r="S561" s="49"/>
      <c r="T561" s="49"/>
      <c r="U561" s="13"/>
      <c r="V561" s="14"/>
      <c r="W561" s="15"/>
      <c r="X561" s="16"/>
      <c r="Y561" s="1"/>
      <c r="Z561" s="2"/>
      <c r="AA561" s="2"/>
      <c r="AB561" s="38"/>
      <c r="AC561" s="38"/>
      <c r="AD561" s="248"/>
      <c r="AE561" s="251"/>
      <c r="AF561" s="248"/>
      <c r="AG561" s="248"/>
      <c r="AH561" s="248"/>
    </row>
    <row r="562" spans="18:34" ht="15.5" x14ac:dyDescent="0.35">
      <c r="R562" s="122"/>
      <c r="S562" s="49"/>
      <c r="T562" s="49"/>
      <c r="U562" s="4"/>
      <c r="V562" s="5"/>
      <c r="W562" s="3"/>
      <c r="X562" s="3"/>
      <c r="Y562" s="2"/>
      <c r="Z562" s="2"/>
      <c r="AA562" s="2"/>
      <c r="AB562" s="2"/>
      <c r="AC562" s="2"/>
      <c r="AD562" s="248"/>
      <c r="AE562" s="249"/>
      <c r="AF562" s="248"/>
      <c r="AG562" s="250"/>
      <c r="AH562" s="248"/>
    </row>
    <row r="563" spans="18:34" ht="15.5" x14ac:dyDescent="0.35">
      <c r="R563" s="122"/>
      <c r="S563" s="49"/>
      <c r="T563" s="49"/>
      <c r="U563" s="4"/>
      <c r="V563" s="5"/>
      <c r="W563" s="3"/>
      <c r="X563" s="3"/>
      <c r="Y563" s="2"/>
      <c r="Z563" s="2"/>
      <c r="AA563" s="2"/>
      <c r="AB563" s="2"/>
      <c r="AC563" s="2"/>
      <c r="AD563" s="248"/>
      <c r="AE563" s="249"/>
      <c r="AF563" s="248"/>
      <c r="AG563" s="250"/>
      <c r="AH563" s="248"/>
    </row>
    <row r="564" spans="18:34" ht="15.5" x14ac:dyDescent="0.35">
      <c r="R564" s="122"/>
      <c r="S564" s="49"/>
      <c r="T564" s="49"/>
      <c r="U564" s="13"/>
      <c r="V564" s="14"/>
      <c r="W564" s="15"/>
      <c r="X564" s="16"/>
      <c r="Y564" s="27"/>
      <c r="Z564" s="27"/>
      <c r="AA564" s="27"/>
      <c r="AB564" s="38"/>
      <c r="AC564" s="38"/>
      <c r="AD564" s="248"/>
      <c r="AE564" s="256"/>
      <c r="AF564" s="248"/>
      <c r="AG564" s="257"/>
      <c r="AH564" s="248"/>
    </row>
    <row r="565" spans="18:34" ht="15.5" x14ac:dyDescent="0.35">
      <c r="R565" s="122"/>
      <c r="S565" s="49"/>
      <c r="T565" s="49"/>
      <c r="U565" s="13"/>
      <c r="V565" s="14"/>
      <c r="W565" s="15"/>
      <c r="X565" s="16"/>
      <c r="Y565" s="1"/>
      <c r="Z565" s="2"/>
      <c r="AA565" s="2"/>
      <c r="AB565" s="38"/>
      <c r="AC565" s="38"/>
      <c r="AD565" s="248"/>
      <c r="AE565" s="251"/>
      <c r="AF565" s="248"/>
      <c r="AG565" s="248"/>
      <c r="AH565" s="248"/>
    </row>
    <row r="566" spans="18:34" ht="15.5" x14ac:dyDescent="0.35">
      <c r="R566" s="122"/>
      <c r="S566" s="49"/>
      <c r="T566" s="49"/>
      <c r="U566" s="13"/>
      <c r="V566" s="14"/>
      <c r="W566" s="15"/>
      <c r="X566" s="16"/>
      <c r="Y566" s="1"/>
      <c r="Z566" s="2"/>
      <c r="AA566" s="2"/>
      <c r="AB566" s="38"/>
      <c r="AC566" s="38"/>
      <c r="AD566" s="248"/>
      <c r="AE566" s="251"/>
      <c r="AF566" s="248"/>
      <c r="AG566" s="248"/>
      <c r="AH566" s="248"/>
    </row>
    <row r="567" spans="18:34" ht="15.5" x14ac:dyDescent="0.35">
      <c r="R567" s="122"/>
      <c r="S567" s="49"/>
      <c r="T567" s="49"/>
      <c r="U567" s="13"/>
      <c r="V567" s="14"/>
      <c r="W567" s="15"/>
      <c r="X567" s="16"/>
      <c r="Y567" s="1"/>
      <c r="Z567" s="2"/>
      <c r="AA567" s="2"/>
      <c r="AB567" s="38"/>
      <c r="AC567" s="38"/>
      <c r="AD567" s="248"/>
      <c r="AE567" s="251"/>
      <c r="AF567" s="248"/>
      <c r="AG567" s="248"/>
      <c r="AH567" s="248"/>
    </row>
    <row r="568" spans="18:34" ht="15.5" x14ac:dyDescent="0.35">
      <c r="R568" s="122"/>
      <c r="S568" s="49"/>
      <c r="T568" s="49"/>
      <c r="U568" s="4"/>
      <c r="V568" s="5"/>
      <c r="W568" s="3"/>
      <c r="X568" s="3"/>
      <c r="Y568" s="2"/>
      <c r="Z568" s="2"/>
      <c r="AA568" s="2"/>
      <c r="AB568" s="2"/>
      <c r="AC568" s="2"/>
      <c r="AD568" s="248"/>
      <c r="AE568" s="249"/>
      <c r="AF568" s="248"/>
      <c r="AG568" s="250"/>
      <c r="AH568" s="248"/>
    </row>
    <row r="569" spans="18:34" ht="15.5" x14ac:dyDescent="0.35">
      <c r="R569" s="122"/>
      <c r="S569" s="49"/>
      <c r="T569" s="49"/>
      <c r="U569" s="13"/>
      <c r="V569" s="14"/>
      <c r="W569" s="15"/>
      <c r="X569" s="16"/>
      <c r="Y569" s="1"/>
      <c r="Z569" s="2"/>
      <c r="AA569" s="2"/>
      <c r="AB569" s="38"/>
      <c r="AC569" s="38"/>
      <c r="AD569" s="248"/>
      <c r="AE569" s="251"/>
      <c r="AF569" s="248"/>
      <c r="AG569" s="248"/>
      <c r="AH569" s="248"/>
    </row>
    <row r="570" spans="18:34" ht="15.5" x14ac:dyDescent="0.35">
      <c r="R570" s="122"/>
      <c r="S570" s="49"/>
      <c r="T570" s="49"/>
      <c r="U570" s="13"/>
      <c r="V570" s="14"/>
      <c r="W570" s="15"/>
      <c r="X570" s="16"/>
      <c r="Y570" s="27"/>
      <c r="Z570" s="27"/>
      <c r="AA570" s="27"/>
      <c r="AB570" s="38"/>
      <c r="AC570" s="38"/>
      <c r="AD570" s="248"/>
      <c r="AE570" s="256"/>
      <c r="AF570" s="248"/>
      <c r="AG570" s="257"/>
      <c r="AH570" s="248"/>
    </row>
    <row r="571" spans="18:34" ht="15.5" x14ac:dyDescent="0.35">
      <c r="R571" s="122"/>
      <c r="S571" s="49"/>
      <c r="T571" s="49"/>
      <c r="U571" s="4"/>
      <c r="V571" s="5"/>
      <c r="W571" s="3"/>
      <c r="X571" s="3"/>
      <c r="Y571" s="2"/>
      <c r="Z571" s="2"/>
      <c r="AA571" s="2"/>
      <c r="AB571" s="2"/>
      <c r="AC571" s="2"/>
      <c r="AD571" s="248"/>
      <c r="AE571" s="249"/>
      <c r="AF571" s="248"/>
      <c r="AG571" s="250"/>
      <c r="AH571" s="248"/>
    </row>
    <row r="572" spans="18:34" ht="15.5" x14ac:dyDescent="0.35">
      <c r="R572" s="122"/>
      <c r="S572" s="49"/>
      <c r="T572" s="49"/>
      <c r="U572" s="13"/>
      <c r="V572" s="14"/>
      <c r="W572" s="15"/>
      <c r="X572" s="16"/>
      <c r="Y572" s="1"/>
      <c r="Z572" s="2"/>
      <c r="AA572" s="2"/>
      <c r="AB572" s="38"/>
      <c r="AC572" s="38"/>
      <c r="AD572" s="248"/>
      <c r="AE572" s="251"/>
      <c r="AF572" s="248"/>
      <c r="AG572" s="248"/>
      <c r="AH572" s="248"/>
    </row>
    <row r="573" spans="18:34" ht="15.5" x14ac:dyDescent="0.35">
      <c r="R573" s="122"/>
      <c r="S573" s="49"/>
      <c r="T573" s="49"/>
      <c r="U573" s="4"/>
      <c r="V573" s="5"/>
      <c r="W573" s="3"/>
      <c r="X573" s="3"/>
      <c r="Y573" s="2"/>
      <c r="Z573" s="2"/>
      <c r="AA573" s="2"/>
      <c r="AB573" s="2"/>
      <c r="AC573" s="2"/>
      <c r="AD573" s="248"/>
      <c r="AE573" s="249"/>
      <c r="AF573" s="248"/>
      <c r="AG573" s="250"/>
      <c r="AH573" s="248"/>
    </row>
    <row r="574" spans="18:34" ht="15.5" x14ac:dyDescent="0.35">
      <c r="R574" s="122"/>
      <c r="S574" s="49"/>
      <c r="T574" s="49"/>
      <c r="U574" s="13"/>
      <c r="V574" s="14"/>
      <c r="W574" s="15"/>
      <c r="X574" s="16"/>
      <c r="Y574" s="1"/>
      <c r="Z574" s="2"/>
      <c r="AA574" s="2"/>
      <c r="AB574" s="38"/>
      <c r="AC574" s="38"/>
      <c r="AD574" s="248"/>
      <c r="AE574" s="251"/>
      <c r="AF574" s="248"/>
      <c r="AG574" s="248"/>
      <c r="AH574" s="248"/>
    </row>
    <row r="575" spans="18:34" ht="15.5" x14ac:dyDescent="0.35">
      <c r="R575" s="122"/>
      <c r="S575" s="49"/>
      <c r="T575" s="50"/>
      <c r="U575" s="21"/>
      <c r="V575" s="22"/>
      <c r="W575" s="26"/>
      <c r="X575" s="17"/>
      <c r="Y575" s="23"/>
      <c r="Z575" s="23"/>
      <c r="AA575" s="23"/>
      <c r="AB575" s="2"/>
      <c r="AC575" s="2"/>
      <c r="AD575" s="248"/>
      <c r="AE575" s="251"/>
      <c r="AF575" s="248"/>
      <c r="AG575" s="248"/>
      <c r="AH575" s="248"/>
    </row>
    <row r="576" spans="18:34" ht="15.5" x14ac:dyDescent="0.35">
      <c r="R576" s="122"/>
      <c r="S576" s="49"/>
      <c r="T576" s="49"/>
      <c r="U576" s="13"/>
      <c r="V576" s="14"/>
      <c r="W576" s="15"/>
      <c r="X576" s="16"/>
      <c r="Y576" s="259"/>
      <c r="Z576" s="2"/>
      <c r="AA576" s="2"/>
      <c r="AB576" s="38"/>
      <c r="AC576" s="38"/>
      <c r="AD576" s="248"/>
      <c r="AE576" s="251"/>
      <c r="AF576" s="248"/>
      <c r="AG576" s="248"/>
      <c r="AH576" s="248"/>
    </row>
    <row r="577" spans="18:34" ht="15.5" x14ac:dyDescent="0.35">
      <c r="R577" s="122"/>
      <c r="S577" s="49"/>
      <c r="T577" s="49"/>
      <c r="U577" s="13"/>
      <c r="V577" s="14"/>
      <c r="W577" s="15"/>
      <c r="X577" s="16"/>
      <c r="Y577" s="1"/>
      <c r="Z577" s="2"/>
      <c r="AA577" s="2"/>
      <c r="AB577" s="38"/>
      <c r="AC577" s="38"/>
      <c r="AD577" s="248"/>
      <c r="AE577" s="251"/>
      <c r="AF577" s="248"/>
      <c r="AG577" s="248"/>
      <c r="AH577" s="248"/>
    </row>
    <row r="578" spans="18:34" ht="15.5" x14ac:dyDescent="0.35">
      <c r="R578" s="122"/>
      <c r="S578" s="49"/>
      <c r="T578" s="49"/>
      <c r="U578" s="4"/>
      <c r="V578" s="5"/>
      <c r="W578" s="3"/>
      <c r="X578" s="3"/>
      <c r="Y578" s="2"/>
      <c r="Z578" s="2"/>
      <c r="AA578" s="2"/>
      <c r="AB578" s="2"/>
      <c r="AC578" s="2"/>
      <c r="AD578" s="248"/>
      <c r="AE578" s="249"/>
      <c r="AF578" s="248"/>
      <c r="AG578" s="250"/>
      <c r="AH578" s="248"/>
    </row>
    <row r="579" spans="18:34" ht="15.5" x14ac:dyDescent="0.35">
      <c r="R579" s="122"/>
      <c r="S579" s="49"/>
      <c r="T579" s="49"/>
      <c r="U579" s="13"/>
      <c r="V579" s="14"/>
      <c r="W579" s="15"/>
      <c r="X579" s="16"/>
      <c r="Y579" s="1"/>
      <c r="Z579" s="2"/>
      <c r="AA579" s="2"/>
      <c r="AB579" s="38"/>
      <c r="AC579" s="38"/>
      <c r="AD579" s="248"/>
      <c r="AE579" s="251"/>
      <c r="AF579" s="248"/>
      <c r="AG579" s="248"/>
      <c r="AH579" s="248"/>
    </row>
    <row r="580" spans="18:34" ht="15.5" x14ac:dyDescent="0.35">
      <c r="R580" s="122"/>
      <c r="S580" s="49"/>
      <c r="T580" s="49"/>
      <c r="U580" s="13"/>
      <c r="V580" s="14"/>
      <c r="W580" s="15"/>
      <c r="X580" s="16"/>
      <c r="Y580" s="1"/>
      <c r="Z580" s="2"/>
      <c r="AA580" s="2"/>
      <c r="AB580" s="38"/>
      <c r="AC580" s="38"/>
      <c r="AD580" s="248"/>
      <c r="AE580" s="251"/>
      <c r="AF580" s="248"/>
      <c r="AG580" s="248"/>
      <c r="AH580" s="248"/>
    </row>
    <row r="581" spans="18:34" ht="15.5" x14ac:dyDescent="0.35">
      <c r="R581" s="122"/>
      <c r="S581" s="49"/>
      <c r="T581" s="49"/>
      <c r="U581" s="13"/>
      <c r="V581" s="14"/>
      <c r="W581" s="15"/>
      <c r="X581" s="16"/>
      <c r="Y581" s="1"/>
      <c r="Z581" s="2"/>
      <c r="AA581" s="2"/>
      <c r="AB581" s="38"/>
      <c r="AC581" s="38"/>
      <c r="AD581" s="248"/>
      <c r="AE581" s="251"/>
      <c r="AF581" s="248"/>
      <c r="AG581" s="248"/>
      <c r="AH581" s="248"/>
    </row>
    <row r="582" spans="18:34" ht="15.5" x14ac:dyDescent="0.35">
      <c r="R582" s="122"/>
      <c r="S582" s="49"/>
      <c r="T582" s="49"/>
      <c r="U582" s="4"/>
      <c r="V582" s="5"/>
      <c r="W582" s="3"/>
      <c r="X582" s="3"/>
      <c r="Y582" s="2"/>
      <c r="Z582" s="2"/>
      <c r="AA582" s="2"/>
      <c r="AB582" s="2"/>
      <c r="AC582" s="2"/>
      <c r="AD582" s="248"/>
      <c r="AE582" s="249"/>
      <c r="AF582" s="248"/>
      <c r="AG582" s="250"/>
      <c r="AH582" s="248"/>
    </row>
    <row r="583" spans="18:34" ht="15.5" x14ac:dyDescent="0.35">
      <c r="R583" s="122"/>
      <c r="S583" s="49"/>
      <c r="T583" s="49"/>
      <c r="U583" s="4"/>
      <c r="V583" s="5"/>
      <c r="W583" s="3"/>
      <c r="X583" s="3"/>
      <c r="Y583" s="2"/>
      <c r="Z583" s="2"/>
      <c r="AA583" s="2"/>
      <c r="AB583" s="2"/>
      <c r="AC583" s="2"/>
      <c r="AD583" s="248"/>
      <c r="AE583" s="249"/>
      <c r="AF583" s="248"/>
      <c r="AG583" s="250"/>
      <c r="AH583" s="248"/>
    </row>
    <row r="584" spans="18:34" ht="15.5" x14ac:dyDescent="0.35">
      <c r="R584" s="122"/>
      <c r="S584" s="49"/>
      <c r="T584" s="49"/>
      <c r="U584" s="13"/>
      <c r="V584" s="14"/>
      <c r="W584" s="15"/>
      <c r="X584" s="16"/>
      <c r="Y584" s="1"/>
      <c r="Z584" s="2"/>
      <c r="AA584" s="2"/>
      <c r="AB584" s="38"/>
      <c r="AC584" s="38"/>
      <c r="AD584" s="248"/>
      <c r="AE584" s="251"/>
      <c r="AF584" s="248"/>
      <c r="AG584" s="248"/>
      <c r="AH584" s="248"/>
    </row>
    <row r="585" spans="18:34" ht="15.5" x14ac:dyDescent="0.35">
      <c r="R585" s="122"/>
      <c r="S585" s="49"/>
      <c r="T585" s="49"/>
      <c r="U585" s="13"/>
      <c r="V585" s="14"/>
      <c r="W585" s="15"/>
      <c r="X585" s="16"/>
      <c r="Y585" s="1"/>
      <c r="Z585" s="2"/>
      <c r="AA585" s="2"/>
      <c r="AB585" s="38"/>
      <c r="AC585" s="38"/>
      <c r="AD585" s="248"/>
      <c r="AE585" s="251"/>
      <c r="AF585" s="248"/>
      <c r="AG585" s="248"/>
      <c r="AH585" s="248"/>
    </row>
    <row r="586" spans="18:34" ht="15.5" x14ac:dyDescent="0.35">
      <c r="R586" s="122"/>
      <c r="S586" s="49"/>
      <c r="T586" s="49"/>
      <c r="U586" s="4"/>
      <c r="V586" s="5"/>
      <c r="W586" s="3"/>
      <c r="X586" s="3"/>
      <c r="Y586" s="2"/>
      <c r="Z586" s="2"/>
      <c r="AA586" s="2"/>
      <c r="AB586" s="2"/>
      <c r="AC586" s="2"/>
      <c r="AD586" s="248"/>
      <c r="AE586" s="249"/>
      <c r="AF586" s="248"/>
      <c r="AG586" s="250"/>
      <c r="AH586" s="248"/>
    </row>
    <row r="587" spans="18:34" ht="15.5" x14ac:dyDescent="0.35">
      <c r="R587" s="122"/>
      <c r="S587" s="49"/>
      <c r="T587" s="49"/>
      <c r="U587" s="4"/>
      <c r="V587" s="5"/>
      <c r="W587" s="3"/>
      <c r="X587" s="3"/>
      <c r="Y587" s="2"/>
      <c r="Z587" s="2"/>
      <c r="AA587" s="2"/>
      <c r="AB587" s="2"/>
      <c r="AC587" s="2"/>
      <c r="AD587" s="248"/>
      <c r="AE587" s="249"/>
      <c r="AF587" s="248"/>
      <c r="AG587" s="250"/>
      <c r="AH587" s="248"/>
    </row>
    <row r="588" spans="18:34" ht="15.5" x14ac:dyDescent="0.35">
      <c r="R588" s="122"/>
      <c r="S588" s="49"/>
      <c r="T588" s="49"/>
      <c r="U588" s="4"/>
      <c r="V588" s="5"/>
      <c r="W588" s="3"/>
      <c r="X588" s="3"/>
      <c r="Y588" s="2"/>
      <c r="Z588" s="2"/>
      <c r="AA588" s="2"/>
      <c r="AB588" s="2"/>
      <c r="AC588" s="2"/>
      <c r="AD588" s="248"/>
      <c r="AE588" s="249"/>
      <c r="AF588" s="248"/>
      <c r="AG588" s="250"/>
      <c r="AH588" s="248"/>
    </row>
    <row r="589" spans="18:34" ht="15.5" x14ac:dyDescent="0.35">
      <c r="R589" s="122"/>
      <c r="S589" s="49"/>
      <c r="T589" s="49"/>
      <c r="U589" s="13"/>
      <c r="V589" s="14"/>
      <c r="W589" s="15"/>
      <c r="X589" s="16"/>
      <c r="Y589" s="1"/>
      <c r="Z589" s="2"/>
      <c r="AA589" s="2"/>
      <c r="AB589" s="38"/>
      <c r="AC589" s="38"/>
      <c r="AD589" s="248"/>
      <c r="AE589" s="251"/>
      <c r="AF589" s="248"/>
      <c r="AG589" s="248"/>
      <c r="AH589" s="248"/>
    </row>
    <row r="590" spans="18:34" ht="15.5" x14ac:dyDescent="0.35">
      <c r="R590" s="122"/>
      <c r="S590" s="49"/>
      <c r="T590" s="49"/>
      <c r="U590" s="4"/>
      <c r="V590" s="5"/>
      <c r="W590" s="3"/>
      <c r="X590" s="3"/>
      <c r="Y590" s="2"/>
      <c r="Z590" s="2"/>
      <c r="AA590" s="2"/>
      <c r="AB590" s="2"/>
      <c r="AC590" s="2"/>
      <c r="AD590" s="248"/>
      <c r="AE590" s="249"/>
      <c r="AF590" s="248"/>
      <c r="AG590" s="250"/>
      <c r="AH590" s="248"/>
    </row>
    <row r="591" spans="18:34" ht="15.5" x14ac:dyDescent="0.35">
      <c r="R591" s="122"/>
      <c r="S591" s="49"/>
      <c r="T591" s="49"/>
      <c r="U591" s="13"/>
      <c r="V591" s="14"/>
      <c r="W591" s="15"/>
      <c r="X591" s="16"/>
      <c r="Y591" s="1"/>
      <c r="Z591" s="2"/>
      <c r="AA591" s="2"/>
      <c r="AB591" s="38"/>
      <c r="AC591" s="38"/>
      <c r="AD591" s="248"/>
      <c r="AE591" s="251"/>
      <c r="AF591" s="248"/>
      <c r="AG591" s="248"/>
      <c r="AH591" s="248"/>
    </row>
    <row r="592" spans="18:34" ht="15.5" x14ac:dyDescent="0.35">
      <c r="R592" s="122"/>
      <c r="S592" s="49"/>
      <c r="T592" s="49"/>
      <c r="U592" s="4"/>
      <c r="V592" s="5"/>
      <c r="W592" s="3"/>
      <c r="X592" s="3"/>
      <c r="Y592" s="2"/>
      <c r="Z592" s="2"/>
      <c r="AA592" s="2"/>
      <c r="AB592" s="2"/>
      <c r="AC592" s="2"/>
      <c r="AD592" s="248"/>
      <c r="AE592" s="249"/>
      <c r="AF592" s="248"/>
      <c r="AG592" s="250"/>
      <c r="AH592" s="248"/>
    </row>
    <row r="593" spans="18:34" ht="15.5" x14ac:dyDescent="0.35">
      <c r="R593" s="122"/>
      <c r="S593" s="49"/>
      <c r="T593" s="49"/>
      <c r="U593" s="13"/>
      <c r="V593" s="14"/>
      <c r="W593" s="15"/>
      <c r="X593" s="16"/>
      <c r="Y593" s="1"/>
      <c r="Z593" s="2"/>
      <c r="AA593" s="2"/>
      <c r="AB593" s="38"/>
      <c r="AC593" s="38"/>
      <c r="AD593" s="248"/>
      <c r="AE593" s="251"/>
      <c r="AF593" s="248"/>
      <c r="AG593" s="248"/>
      <c r="AH593" s="248"/>
    </row>
    <row r="594" spans="18:34" ht="15.5" x14ac:dyDescent="0.35">
      <c r="R594" s="122"/>
      <c r="S594" s="56"/>
      <c r="T594" s="49"/>
      <c r="U594" s="13"/>
      <c r="V594" s="14"/>
      <c r="W594" s="15"/>
      <c r="X594" s="16"/>
      <c r="Y594" s="1"/>
      <c r="Z594" s="2"/>
      <c r="AA594" s="2"/>
      <c r="AB594" s="38"/>
      <c r="AC594" s="38"/>
      <c r="AD594" s="248"/>
      <c r="AE594" s="251"/>
      <c r="AF594" s="248"/>
      <c r="AG594" s="248"/>
      <c r="AH594" s="248"/>
    </row>
    <row r="595" spans="18:34" ht="15.5" x14ac:dyDescent="0.35">
      <c r="R595" s="122"/>
      <c r="S595" s="49"/>
      <c r="T595" s="49"/>
      <c r="U595" s="13"/>
      <c r="V595" s="14"/>
      <c r="W595" s="15"/>
      <c r="X595" s="16"/>
      <c r="Y595" s="1"/>
      <c r="Z595" s="2"/>
      <c r="AA595" s="2"/>
      <c r="AB595" s="38"/>
      <c r="AC595" s="38"/>
      <c r="AD595" s="248"/>
      <c r="AE595" s="251"/>
      <c r="AF595" s="248"/>
      <c r="AG595" s="248"/>
      <c r="AH595" s="248"/>
    </row>
    <row r="596" spans="18:34" ht="15.5" x14ac:dyDescent="0.35">
      <c r="R596" s="122"/>
      <c r="S596" s="49"/>
      <c r="T596" s="49"/>
      <c r="U596" s="13"/>
      <c r="V596" s="14"/>
      <c r="W596" s="15"/>
      <c r="X596" s="16"/>
      <c r="Y596" s="1"/>
      <c r="Z596" s="2"/>
      <c r="AA596" s="2"/>
      <c r="AB596" s="38"/>
      <c r="AC596" s="38"/>
      <c r="AD596" s="248"/>
      <c r="AE596" s="251"/>
      <c r="AF596" s="248"/>
      <c r="AG596" s="248"/>
      <c r="AH596" s="248"/>
    </row>
    <row r="597" spans="18:34" ht="15.5" x14ac:dyDescent="0.35">
      <c r="R597" s="122"/>
      <c r="S597" s="49"/>
      <c r="T597" s="49"/>
      <c r="U597" s="13"/>
      <c r="V597" s="14"/>
      <c r="W597" s="15"/>
      <c r="X597" s="16"/>
      <c r="Y597" s="1"/>
      <c r="Z597" s="2"/>
      <c r="AA597" s="2"/>
      <c r="AB597" s="38"/>
      <c r="AC597" s="38"/>
      <c r="AD597" s="248"/>
      <c r="AE597" s="251"/>
      <c r="AF597" s="248"/>
      <c r="AG597" s="248"/>
      <c r="AH597" s="248"/>
    </row>
    <row r="598" spans="18:34" ht="15.5" x14ac:dyDescent="0.35">
      <c r="R598" s="122"/>
      <c r="S598" s="49"/>
      <c r="T598" s="49"/>
      <c r="U598" s="13"/>
      <c r="V598" s="14"/>
      <c r="W598" s="15"/>
      <c r="X598" s="16"/>
      <c r="Y598" s="1"/>
      <c r="Z598" s="2"/>
      <c r="AA598" s="2"/>
      <c r="AB598" s="38"/>
      <c r="AC598" s="38"/>
      <c r="AD598" s="248"/>
      <c r="AE598" s="251"/>
      <c r="AF598" s="248"/>
      <c r="AG598" s="248"/>
      <c r="AH598" s="248"/>
    </row>
    <row r="599" spans="18:34" ht="15.5" x14ac:dyDescent="0.35">
      <c r="R599" s="122"/>
      <c r="S599" s="49"/>
      <c r="T599" s="49"/>
      <c r="U599" s="13"/>
      <c r="V599" s="14"/>
      <c r="W599" s="15"/>
      <c r="X599" s="16"/>
      <c r="Y599" s="1"/>
      <c r="Z599" s="2"/>
      <c r="AA599" s="2"/>
      <c r="AB599" s="38"/>
      <c r="AC599" s="38"/>
      <c r="AD599" s="248"/>
      <c r="AE599" s="251"/>
      <c r="AF599" s="248"/>
      <c r="AG599" s="248"/>
      <c r="AH599" s="248"/>
    </row>
    <row r="600" spans="18:34" ht="15.5" x14ac:dyDescent="0.35">
      <c r="R600" s="122"/>
      <c r="S600" s="49"/>
      <c r="T600" s="49"/>
      <c r="U600" s="13"/>
      <c r="V600" s="14"/>
      <c r="W600" s="15"/>
      <c r="X600" s="16"/>
      <c r="Y600" s="1"/>
      <c r="Z600" s="2"/>
      <c r="AA600" s="2"/>
      <c r="AB600" s="38"/>
      <c r="AC600" s="38"/>
      <c r="AD600" s="248"/>
      <c r="AE600" s="251"/>
      <c r="AF600" s="248"/>
      <c r="AG600" s="248"/>
      <c r="AH600" s="248"/>
    </row>
    <row r="601" spans="18:34" ht="15.5" x14ac:dyDescent="0.35">
      <c r="R601" s="122"/>
      <c r="S601" s="49"/>
      <c r="T601" s="49"/>
      <c r="U601" s="13"/>
      <c r="V601" s="14"/>
      <c r="W601" s="15"/>
      <c r="X601" s="16"/>
      <c r="Y601" s="1"/>
      <c r="Z601" s="2"/>
      <c r="AA601" s="2"/>
      <c r="AB601" s="38"/>
      <c r="AC601" s="38"/>
      <c r="AD601" s="248"/>
      <c r="AE601" s="251"/>
      <c r="AF601" s="248"/>
      <c r="AG601" s="248"/>
      <c r="AH601" s="248"/>
    </row>
    <row r="602" spans="18:34" ht="15.5" x14ac:dyDescent="0.35">
      <c r="R602" s="122"/>
      <c r="S602" s="49"/>
      <c r="T602" s="49"/>
      <c r="U602" s="13"/>
      <c r="V602" s="14"/>
      <c r="W602" s="15"/>
      <c r="X602" s="16"/>
      <c r="Y602" s="1"/>
      <c r="Z602" s="2"/>
      <c r="AA602" s="2"/>
      <c r="AB602" s="38"/>
      <c r="AC602" s="38"/>
      <c r="AD602" s="248"/>
      <c r="AE602" s="251"/>
      <c r="AF602" s="248"/>
      <c r="AG602" s="248"/>
      <c r="AH602" s="248"/>
    </row>
    <row r="603" spans="18:34" ht="15.5" x14ac:dyDescent="0.35">
      <c r="R603" s="122"/>
      <c r="S603" s="49"/>
      <c r="T603" s="49"/>
      <c r="U603" s="4"/>
      <c r="V603" s="5"/>
      <c r="W603" s="3"/>
      <c r="X603" s="3"/>
      <c r="Y603" s="2"/>
      <c r="Z603" s="2"/>
      <c r="AA603" s="2"/>
      <c r="AB603" s="2"/>
      <c r="AC603" s="2"/>
      <c r="AD603" s="248"/>
      <c r="AE603" s="249"/>
      <c r="AF603" s="248"/>
      <c r="AG603" s="250"/>
      <c r="AH603" s="248"/>
    </row>
    <row r="604" spans="18:34" ht="15.5" x14ac:dyDescent="0.35">
      <c r="R604" s="122"/>
      <c r="S604" s="49"/>
      <c r="T604" s="49"/>
      <c r="U604" s="13"/>
      <c r="V604" s="14"/>
      <c r="W604" s="15"/>
      <c r="X604" s="16"/>
      <c r="Y604" s="1"/>
      <c r="Z604" s="2"/>
      <c r="AA604" s="2"/>
      <c r="AB604" s="38"/>
      <c r="AC604" s="38"/>
      <c r="AD604" s="248"/>
      <c r="AE604" s="251"/>
      <c r="AF604" s="248"/>
      <c r="AG604" s="248"/>
      <c r="AH604" s="248"/>
    </row>
    <row r="605" spans="18:34" ht="15.5" x14ac:dyDescent="0.35">
      <c r="R605" s="122"/>
      <c r="S605" s="49"/>
      <c r="T605" s="49"/>
      <c r="U605" s="13"/>
      <c r="V605" s="14"/>
      <c r="W605" s="15"/>
      <c r="X605" s="16"/>
      <c r="Y605" s="1"/>
      <c r="Z605" s="2"/>
      <c r="AA605" s="2"/>
      <c r="AB605" s="38"/>
      <c r="AC605" s="38"/>
      <c r="AD605" s="248"/>
      <c r="AE605" s="251"/>
      <c r="AF605" s="248"/>
      <c r="AG605" s="248"/>
      <c r="AH605" s="248"/>
    </row>
    <row r="606" spans="18:34" ht="15.5" x14ac:dyDescent="0.35">
      <c r="R606" s="122"/>
      <c r="S606" s="49"/>
      <c r="T606" s="49"/>
      <c r="U606" s="13"/>
      <c r="V606" s="14"/>
      <c r="W606" s="15"/>
      <c r="X606" s="16"/>
      <c r="Y606" s="1"/>
      <c r="Z606" s="2"/>
      <c r="AA606" s="2"/>
      <c r="AB606" s="38"/>
      <c r="AC606" s="38"/>
      <c r="AD606" s="248"/>
      <c r="AE606" s="251"/>
      <c r="AF606" s="248"/>
      <c r="AG606" s="248"/>
      <c r="AH606" s="248"/>
    </row>
    <row r="607" spans="18:34" ht="15.5" x14ac:dyDescent="0.35">
      <c r="R607" s="122"/>
      <c r="S607" s="49"/>
      <c r="T607" s="49"/>
      <c r="U607" s="4"/>
      <c r="V607" s="5"/>
      <c r="W607" s="3"/>
      <c r="X607" s="3"/>
      <c r="Y607" s="2"/>
      <c r="Z607" s="2"/>
      <c r="AA607" s="2"/>
      <c r="AB607" s="2"/>
      <c r="AC607" s="2"/>
      <c r="AD607" s="248"/>
      <c r="AE607" s="249"/>
      <c r="AF607" s="248"/>
      <c r="AG607" s="250"/>
      <c r="AH607" s="248"/>
    </row>
    <row r="608" spans="18:34" ht="15.5" x14ac:dyDescent="0.35">
      <c r="R608" s="122"/>
      <c r="S608" s="49"/>
      <c r="T608" s="49"/>
      <c r="U608" s="4"/>
      <c r="V608" s="5"/>
      <c r="W608" s="3"/>
      <c r="X608" s="3"/>
      <c r="Y608" s="2"/>
      <c r="Z608" s="2"/>
      <c r="AA608" s="2"/>
      <c r="AB608" s="2"/>
      <c r="AC608" s="2"/>
      <c r="AD608" s="248"/>
      <c r="AE608" s="249"/>
      <c r="AF608" s="248"/>
      <c r="AG608" s="250"/>
      <c r="AH608" s="248"/>
    </row>
    <row r="609" spans="18:34" ht="15.5" x14ac:dyDescent="0.35">
      <c r="R609" s="122"/>
      <c r="S609" s="49"/>
      <c r="T609" s="49"/>
      <c r="U609" s="4"/>
      <c r="V609" s="5"/>
      <c r="W609" s="3"/>
      <c r="X609" s="3"/>
      <c r="Y609" s="2"/>
      <c r="Z609" s="2"/>
      <c r="AA609" s="2"/>
      <c r="AB609" s="2"/>
      <c r="AC609" s="2"/>
      <c r="AD609" s="248"/>
      <c r="AE609" s="249"/>
      <c r="AF609" s="248"/>
      <c r="AG609" s="250"/>
      <c r="AH609" s="248"/>
    </row>
    <row r="610" spans="18:34" ht="15.5" x14ac:dyDescent="0.35">
      <c r="R610" s="122"/>
      <c r="S610" s="49"/>
      <c r="T610" s="49"/>
      <c r="U610" s="4"/>
      <c r="V610" s="5"/>
      <c r="W610" s="3"/>
      <c r="X610" s="3"/>
      <c r="Y610" s="2"/>
      <c r="Z610" s="2"/>
      <c r="AA610" s="2"/>
      <c r="AB610" s="2"/>
      <c r="AC610" s="2"/>
      <c r="AD610" s="248"/>
      <c r="AE610" s="249"/>
      <c r="AF610" s="248"/>
      <c r="AG610" s="250"/>
      <c r="AH610" s="248"/>
    </row>
    <row r="611" spans="18:34" ht="15.5" x14ac:dyDescent="0.35">
      <c r="R611" s="122"/>
      <c r="S611" s="49"/>
      <c r="T611" s="49"/>
      <c r="U611" s="13"/>
      <c r="V611" s="14"/>
      <c r="W611" s="15"/>
      <c r="X611" s="16"/>
      <c r="Y611" s="1"/>
      <c r="Z611" s="2"/>
      <c r="AA611" s="2"/>
      <c r="AB611" s="38"/>
      <c r="AC611" s="38"/>
      <c r="AD611" s="248"/>
      <c r="AE611" s="251"/>
      <c r="AF611" s="248"/>
      <c r="AG611" s="248"/>
      <c r="AH611" s="248"/>
    </row>
    <row r="612" spans="18:34" ht="15.5" x14ac:dyDescent="0.35">
      <c r="R612" s="122"/>
      <c r="S612" s="49"/>
      <c r="T612" s="49"/>
      <c r="U612" s="4"/>
      <c r="V612" s="5"/>
      <c r="W612" s="3"/>
      <c r="X612" s="3"/>
      <c r="Y612" s="2"/>
      <c r="Z612" s="2"/>
      <c r="AA612" s="2"/>
      <c r="AB612" s="2"/>
      <c r="AC612" s="2"/>
      <c r="AD612" s="248"/>
      <c r="AE612" s="249"/>
      <c r="AF612" s="248"/>
      <c r="AG612" s="250"/>
      <c r="AH612" s="248"/>
    </row>
    <row r="613" spans="18:34" ht="15.5" x14ac:dyDescent="0.35">
      <c r="R613" s="122"/>
      <c r="S613" s="49"/>
      <c r="T613" s="49"/>
      <c r="U613" s="13"/>
      <c r="V613" s="14"/>
      <c r="W613" s="15"/>
      <c r="X613" s="16"/>
      <c r="Y613" s="1"/>
      <c r="Z613" s="2"/>
      <c r="AA613" s="2"/>
      <c r="AB613" s="38"/>
      <c r="AC613" s="38"/>
      <c r="AD613" s="248"/>
      <c r="AE613" s="251"/>
      <c r="AF613" s="248"/>
      <c r="AG613" s="248"/>
      <c r="AH613" s="248"/>
    </row>
    <row r="614" spans="18:34" ht="15.5" x14ac:dyDescent="0.35">
      <c r="R614" s="122"/>
      <c r="S614" s="49"/>
      <c r="T614" s="49"/>
      <c r="U614" s="4"/>
      <c r="V614" s="5"/>
      <c r="W614" s="3"/>
      <c r="X614" s="3"/>
      <c r="Y614" s="2"/>
      <c r="Z614" s="2"/>
      <c r="AA614" s="2"/>
      <c r="AB614" s="2"/>
      <c r="AC614" s="2"/>
      <c r="AD614" s="248"/>
      <c r="AE614" s="249"/>
      <c r="AF614" s="248"/>
      <c r="AG614" s="250"/>
      <c r="AH614" s="248"/>
    </row>
    <row r="615" spans="18:34" ht="15.5" x14ac:dyDescent="0.35">
      <c r="R615" s="122"/>
      <c r="S615" s="49"/>
      <c r="T615" s="49"/>
      <c r="U615" s="4"/>
      <c r="V615" s="5"/>
      <c r="W615" s="3"/>
      <c r="X615" s="3"/>
      <c r="Y615" s="2"/>
      <c r="Z615" s="2"/>
      <c r="AA615" s="2"/>
      <c r="AB615" s="2"/>
      <c r="AC615" s="2"/>
      <c r="AD615" s="248"/>
      <c r="AE615" s="249"/>
      <c r="AF615" s="248"/>
      <c r="AG615" s="250"/>
      <c r="AH615" s="248"/>
    </row>
    <row r="616" spans="18:34" ht="15.5" x14ac:dyDescent="0.35">
      <c r="R616" s="122"/>
      <c r="S616" s="49"/>
      <c r="T616" s="49"/>
      <c r="U616" s="4"/>
      <c r="V616" s="5"/>
      <c r="W616" s="3"/>
      <c r="X616" s="3"/>
      <c r="Y616" s="2"/>
      <c r="Z616" s="2"/>
      <c r="AA616" s="2"/>
      <c r="AB616" s="2"/>
      <c r="AC616" s="2"/>
      <c r="AD616" s="248"/>
      <c r="AE616" s="249"/>
      <c r="AF616" s="248"/>
      <c r="AG616" s="250"/>
      <c r="AH616" s="248"/>
    </row>
    <row r="617" spans="18:34" ht="15.5" x14ac:dyDescent="0.35">
      <c r="R617" s="122"/>
      <c r="S617" s="49"/>
      <c r="T617" s="49"/>
      <c r="U617" s="13"/>
      <c r="V617" s="14"/>
      <c r="W617" s="15"/>
      <c r="X617" s="16"/>
      <c r="Y617" s="1"/>
      <c r="Z617" s="2"/>
      <c r="AA617" s="2"/>
      <c r="AB617" s="38"/>
      <c r="AC617" s="38"/>
      <c r="AD617" s="248"/>
      <c r="AE617" s="251"/>
      <c r="AF617" s="248"/>
      <c r="AG617" s="248"/>
      <c r="AH617" s="248"/>
    </row>
    <row r="618" spans="18:34" ht="15.5" x14ac:dyDescent="0.35">
      <c r="R618" s="122"/>
      <c r="S618" s="49"/>
      <c r="T618" s="49"/>
      <c r="U618" s="4"/>
      <c r="V618" s="5"/>
      <c r="W618" s="3"/>
      <c r="X618" s="3"/>
      <c r="Y618" s="2"/>
      <c r="Z618" s="2"/>
      <c r="AA618" s="2"/>
      <c r="AB618" s="2"/>
      <c r="AC618" s="2"/>
      <c r="AD618" s="248"/>
      <c r="AE618" s="249"/>
      <c r="AF618" s="248"/>
      <c r="AG618" s="250"/>
      <c r="AH618" s="248"/>
    </row>
    <row r="619" spans="18:34" ht="15.5" x14ac:dyDescent="0.35">
      <c r="R619" s="122"/>
      <c r="S619" s="49"/>
      <c r="T619" s="49"/>
      <c r="U619" s="4"/>
      <c r="V619" s="37"/>
      <c r="W619" s="3"/>
      <c r="X619" s="3"/>
      <c r="Y619" s="2"/>
      <c r="Z619" s="2"/>
      <c r="AA619" s="2"/>
      <c r="AB619" s="2"/>
      <c r="AC619" s="2"/>
      <c r="AD619" s="248"/>
      <c r="AE619" s="258"/>
      <c r="AF619" s="248"/>
      <c r="AG619" s="248"/>
      <c r="AH619" s="248"/>
    </row>
    <row r="620" spans="18:34" ht="15.5" x14ac:dyDescent="0.35">
      <c r="R620" s="122"/>
      <c r="S620" s="49"/>
      <c r="T620" s="49"/>
      <c r="U620" s="13"/>
      <c r="V620" s="14"/>
      <c r="W620" s="15"/>
      <c r="X620" s="16"/>
      <c r="Y620" s="1"/>
      <c r="Z620" s="2"/>
      <c r="AA620" s="2"/>
      <c r="AB620" s="38"/>
      <c r="AC620" s="38"/>
      <c r="AD620" s="248"/>
      <c r="AE620" s="251"/>
      <c r="AF620" s="248"/>
      <c r="AG620" s="248"/>
      <c r="AH620" s="248"/>
    </row>
    <row r="621" spans="18:34" ht="15.5" x14ac:dyDescent="0.35">
      <c r="R621" s="122"/>
      <c r="S621" s="49"/>
      <c r="T621" s="49"/>
      <c r="U621" s="4"/>
      <c r="V621" s="5"/>
      <c r="W621" s="3"/>
      <c r="X621" s="3"/>
      <c r="Y621" s="2"/>
      <c r="Z621" s="2"/>
      <c r="AA621" s="2"/>
      <c r="AB621" s="2"/>
      <c r="AC621" s="2"/>
      <c r="AD621" s="248"/>
      <c r="AE621" s="249"/>
      <c r="AF621" s="248"/>
      <c r="AG621" s="250"/>
      <c r="AH621" s="248"/>
    </row>
    <row r="622" spans="18:34" ht="15.5" x14ac:dyDescent="0.35">
      <c r="R622" s="122"/>
      <c r="S622" s="49"/>
      <c r="T622" s="49"/>
      <c r="U622" s="4"/>
      <c r="V622" s="37"/>
      <c r="W622" s="3"/>
      <c r="X622" s="3"/>
      <c r="Y622" s="2"/>
      <c r="Z622" s="2"/>
      <c r="AA622" s="2"/>
      <c r="AB622" s="2"/>
      <c r="AC622" s="2"/>
      <c r="AD622" s="248"/>
      <c r="AE622" s="258"/>
      <c r="AF622" s="248"/>
      <c r="AG622" s="248"/>
      <c r="AH622" s="248"/>
    </row>
    <row r="623" spans="18:34" ht="15.5" x14ac:dyDescent="0.35">
      <c r="R623" s="122"/>
      <c r="S623" s="49"/>
      <c r="T623" s="49"/>
      <c r="U623" s="4"/>
      <c r="V623" s="5"/>
      <c r="W623" s="3"/>
      <c r="X623" s="3"/>
      <c r="Y623" s="2"/>
      <c r="Z623" s="2"/>
      <c r="AA623" s="2"/>
      <c r="AB623" s="2"/>
      <c r="AC623" s="2"/>
      <c r="AD623" s="248"/>
      <c r="AE623" s="249"/>
      <c r="AF623" s="248"/>
      <c r="AG623" s="250"/>
      <c r="AH623" s="248"/>
    </row>
    <row r="624" spans="18:34" ht="15.5" x14ac:dyDescent="0.35">
      <c r="R624" s="122"/>
      <c r="S624" s="49"/>
      <c r="T624" s="49"/>
      <c r="U624" s="13"/>
      <c r="V624" s="14"/>
      <c r="W624" s="15"/>
      <c r="X624" s="16"/>
      <c r="Y624" s="1"/>
      <c r="Z624" s="2"/>
      <c r="AA624" s="2"/>
      <c r="AB624" s="38"/>
      <c r="AC624" s="38"/>
      <c r="AD624" s="248"/>
      <c r="AE624" s="251"/>
      <c r="AF624" s="248"/>
      <c r="AG624" s="248"/>
      <c r="AH624" s="248"/>
    </row>
    <row r="625" spans="18:34" ht="15.5" x14ac:dyDescent="0.35">
      <c r="R625" s="122"/>
      <c r="S625" s="49"/>
      <c r="T625" s="49"/>
      <c r="U625" s="4"/>
      <c r="V625" s="5"/>
      <c r="W625" s="3"/>
      <c r="X625" s="3"/>
      <c r="Y625" s="2"/>
      <c r="Z625" s="2"/>
      <c r="AA625" s="2"/>
      <c r="AB625" s="2"/>
      <c r="AC625" s="2"/>
      <c r="AD625" s="248"/>
      <c r="AE625" s="249"/>
      <c r="AF625" s="248"/>
      <c r="AG625" s="250"/>
      <c r="AH625" s="248"/>
    </row>
    <row r="626" spans="18:34" ht="15.5" x14ac:dyDescent="0.35">
      <c r="R626" s="122"/>
      <c r="S626" s="49"/>
      <c r="T626" s="49"/>
      <c r="U626" s="13"/>
      <c r="V626" s="14"/>
      <c r="W626" s="15"/>
      <c r="X626" s="16"/>
      <c r="Y626" s="1"/>
      <c r="Z626" s="2"/>
      <c r="AA626" s="2"/>
      <c r="AB626" s="38"/>
      <c r="AC626" s="38"/>
      <c r="AD626" s="248"/>
      <c r="AE626" s="251"/>
      <c r="AF626" s="248"/>
      <c r="AG626" s="248"/>
      <c r="AH626" s="248"/>
    </row>
    <row r="627" spans="18:34" ht="15.5" x14ac:dyDescent="0.35">
      <c r="R627" s="122"/>
      <c r="S627" s="49"/>
      <c r="T627" s="49"/>
      <c r="U627" s="13"/>
      <c r="V627" s="14"/>
      <c r="W627" s="15"/>
      <c r="X627" s="16"/>
      <c r="Y627" s="1"/>
      <c r="Z627" s="2"/>
      <c r="AA627" s="2"/>
      <c r="AB627" s="38"/>
      <c r="AC627" s="38"/>
      <c r="AD627" s="248"/>
      <c r="AE627" s="251"/>
      <c r="AF627" s="248"/>
      <c r="AG627" s="248"/>
      <c r="AH627" s="248"/>
    </row>
    <row r="628" spans="18:34" ht="15.5" x14ac:dyDescent="0.35">
      <c r="R628" s="122"/>
      <c r="S628" s="49"/>
      <c r="T628" s="49"/>
      <c r="U628" s="4"/>
      <c r="V628" s="5"/>
      <c r="W628" s="3"/>
      <c r="X628" s="3"/>
      <c r="Y628" s="2"/>
      <c r="Z628" s="2"/>
      <c r="AA628" s="2"/>
      <c r="AB628" s="2"/>
      <c r="AC628" s="2"/>
      <c r="AD628" s="248"/>
      <c r="AE628" s="249"/>
      <c r="AF628" s="248"/>
      <c r="AG628" s="250"/>
      <c r="AH628" s="248"/>
    </row>
    <row r="629" spans="18:34" ht="15.5" x14ac:dyDescent="0.35">
      <c r="R629" s="122"/>
      <c r="S629" s="49"/>
      <c r="T629" s="49"/>
      <c r="U629" s="4"/>
      <c r="V629" s="5"/>
      <c r="W629" s="3"/>
      <c r="X629" s="3"/>
      <c r="Y629" s="2"/>
      <c r="Z629" s="2"/>
      <c r="AA629" s="2"/>
      <c r="AB629" s="2"/>
      <c r="AC629" s="2"/>
      <c r="AD629" s="248"/>
      <c r="AE629" s="249"/>
      <c r="AF629" s="248"/>
      <c r="AG629" s="250"/>
      <c r="AH629" s="248"/>
    </row>
    <row r="630" spans="18:34" ht="15.5" x14ac:dyDescent="0.35">
      <c r="R630" s="122"/>
      <c r="S630" s="49"/>
      <c r="T630" s="49"/>
      <c r="U630" s="4"/>
      <c r="V630" s="5"/>
      <c r="W630" s="3"/>
      <c r="X630" s="3"/>
      <c r="Y630" s="2"/>
      <c r="Z630" s="2"/>
      <c r="AA630" s="2"/>
      <c r="AB630" s="2"/>
      <c r="AC630" s="2"/>
      <c r="AD630" s="248"/>
      <c r="AE630" s="249"/>
      <c r="AF630" s="248"/>
      <c r="AG630" s="250"/>
      <c r="AH630" s="248"/>
    </row>
    <row r="631" spans="18:34" ht="15.5" x14ac:dyDescent="0.35">
      <c r="R631" s="122"/>
      <c r="S631" s="49"/>
      <c r="T631" s="49"/>
      <c r="U631" s="4"/>
      <c r="V631" s="5"/>
      <c r="W631" s="3"/>
      <c r="X631" s="3"/>
      <c r="Y631" s="2"/>
      <c r="Z631" s="2"/>
      <c r="AA631" s="2"/>
      <c r="AB631" s="2"/>
      <c r="AC631" s="2"/>
      <c r="AD631" s="248"/>
      <c r="AE631" s="249"/>
      <c r="AF631" s="248"/>
      <c r="AG631" s="250"/>
      <c r="AH631" s="248"/>
    </row>
    <row r="632" spans="18:34" ht="15.5" x14ac:dyDescent="0.35">
      <c r="R632" s="122"/>
      <c r="S632" s="49"/>
      <c r="T632" s="49"/>
      <c r="U632" s="4"/>
      <c r="V632" s="5"/>
      <c r="W632" s="3"/>
      <c r="X632" s="3"/>
      <c r="Y632" s="2"/>
      <c r="Z632" s="2"/>
      <c r="AA632" s="2"/>
      <c r="AB632" s="2"/>
      <c r="AC632" s="2"/>
      <c r="AD632" s="248"/>
      <c r="AE632" s="249"/>
      <c r="AF632" s="248"/>
      <c r="AG632" s="250"/>
      <c r="AH632" s="248"/>
    </row>
    <row r="633" spans="18:34" ht="15.5" x14ac:dyDescent="0.35">
      <c r="R633" s="122"/>
      <c r="S633" s="49"/>
      <c r="T633" s="49"/>
      <c r="U633" s="13"/>
      <c r="V633" s="14"/>
      <c r="W633" s="15"/>
      <c r="X633" s="16"/>
      <c r="Y633" s="1"/>
      <c r="Z633" s="2"/>
      <c r="AA633" s="2"/>
      <c r="AB633" s="38"/>
      <c r="AC633" s="38"/>
      <c r="AD633" s="248"/>
      <c r="AE633" s="251"/>
      <c r="AF633" s="248"/>
      <c r="AG633" s="248"/>
      <c r="AH633" s="248"/>
    </row>
    <row r="634" spans="18:34" ht="15.5" x14ac:dyDescent="0.35">
      <c r="R634" s="122"/>
      <c r="S634" s="49"/>
      <c r="T634" s="49"/>
      <c r="U634" s="13"/>
      <c r="V634" s="14"/>
      <c r="W634" s="15"/>
      <c r="X634" s="16"/>
      <c r="Y634" s="1"/>
      <c r="Z634" s="2"/>
      <c r="AA634" s="2"/>
      <c r="AB634" s="38"/>
      <c r="AC634" s="38"/>
      <c r="AD634" s="248"/>
      <c r="AE634" s="251"/>
      <c r="AF634" s="248"/>
      <c r="AG634" s="248"/>
      <c r="AH634" s="248"/>
    </row>
    <row r="635" spans="18:34" ht="15.5" x14ac:dyDescent="0.35">
      <c r="R635" s="122"/>
      <c r="S635" s="49"/>
      <c r="T635" s="49"/>
      <c r="U635" s="4"/>
      <c r="V635" s="5"/>
      <c r="W635" s="3"/>
      <c r="X635" s="3"/>
      <c r="Y635" s="2"/>
      <c r="Z635" s="2"/>
      <c r="AA635" s="2"/>
      <c r="AB635" s="2"/>
      <c r="AC635" s="2"/>
      <c r="AD635" s="248"/>
      <c r="AE635" s="249"/>
      <c r="AF635" s="248"/>
      <c r="AG635" s="250"/>
      <c r="AH635" s="248"/>
    </row>
    <row r="636" spans="18:34" ht="15.5" x14ac:dyDescent="0.35">
      <c r="R636" s="122"/>
      <c r="S636" s="49"/>
      <c r="T636" s="49"/>
      <c r="U636" s="4"/>
      <c r="V636" s="5"/>
      <c r="W636" s="3"/>
      <c r="X636" s="3"/>
      <c r="Y636" s="2"/>
      <c r="Z636" s="2"/>
      <c r="AA636" s="2"/>
      <c r="AB636" s="2"/>
      <c r="AC636" s="2"/>
      <c r="AD636" s="248"/>
      <c r="AE636" s="249"/>
      <c r="AF636" s="248"/>
      <c r="AG636" s="250"/>
      <c r="AH636" s="248"/>
    </row>
    <row r="637" spans="18:34" ht="15.5" x14ac:dyDescent="0.35">
      <c r="R637" s="122"/>
      <c r="S637" s="49"/>
      <c r="T637" s="49"/>
      <c r="U637" s="4"/>
      <c r="V637" s="5"/>
      <c r="W637" s="3"/>
      <c r="X637" s="3"/>
      <c r="Y637" s="2"/>
      <c r="Z637" s="2"/>
      <c r="AA637" s="2"/>
      <c r="AB637" s="2"/>
      <c r="AC637" s="2"/>
      <c r="AD637" s="248"/>
      <c r="AE637" s="249"/>
      <c r="AF637" s="248"/>
      <c r="AG637" s="250"/>
      <c r="AH637" s="248"/>
    </row>
    <row r="638" spans="18:34" ht="15.5" x14ac:dyDescent="0.35">
      <c r="R638" s="122"/>
      <c r="S638" s="49"/>
      <c r="T638" s="49"/>
      <c r="U638" s="4"/>
      <c r="V638" s="5"/>
      <c r="W638" s="3"/>
      <c r="X638" s="3"/>
      <c r="Y638" s="2"/>
      <c r="Z638" s="2"/>
      <c r="AA638" s="2"/>
      <c r="AB638" s="2"/>
      <c r="AC638" s="2"/>
      <c r="AD638" s="248"/>
      <c r="AE638" s="249"/>
      <c r="AF638" s="248"/>
      <c r="AG638" s="250"/>
      <c r="AH638" s="248"/>
    </row>
    <row r="639" spans="18:34" ht="15.5" x14ac:dyDescent="0.35">
      <c r="R639" s="122"/>
      <c r="S639" s="49"/>
      <c r="T639" s="49"/>
      <c r="U639" s="13"/>
      <c r="V639" s="14"/>
      <c r="W639" s="15"/>
      <c r="X639" s="16"/>
      <c r="Y639" s="27"/>
      <c r="Z639" s="27"/>
      <c r="AA639" s="27"/>
      <c r="AB639" s="38"/>
      <c r="AC639" s="38"/>
      <c r="AD639" s="248"/>
      <c r="AE639" s="256"/>
      <c r="AF639" s="248"/>
      <c r="AG639" s="257"/>
      <c r="AH639" s="248"/>
    </row>
    <row r="640" spans="18:34" ht="15.5" x14ac:dyDescent="0.35">
      <c r="R640" s="122"/>
      <c r="S640" s="49"/>
      <c r="T640" s="49"/>
      <c r="U640" s="13"/>
      <c r="V640" s="14"/>
      <c r="W640" s="15"/>
      <c r="X640" s="16"/>
      <c r="Y640" s="27"/>
      <c r="Z640" s="27"/>
      <c r="AA640" s="27"/>
      <c r="AB640" s="38"/>
      <c r="AC640" s="38"/>
      <c r="AD640" s="248"/>
      <c r="AE640" s="256"/>
      <c r="AF640" s="248"/>
      <c r="AG640" s="257"/>
      <c r="AH640" s="248"/>
    </row>
    <row r="641" spans="18:34" ht="15.5" x14ac:dyDescent="0.35">
      <c r="R641" s="122"/>
      <c r="S641" s="49"/>
      <c r="T641" s="49"/>
      <c r="U641" s="13"/>
      <c r="V641" s="14"/>
      <c r="W641" s="15"/>
      <c r="X641" s="16"/>
      <c r="Y641" s="27"/>
      <c r="Z641" s="27"/>
      <c r="AA641" s="27"/>
      <c r="AB641" s="38"/>
      <c r="AC641" s="38"/>
      <c r="AD641" s="248"/>
      <c r="AE641" s="256"/>
      <c r="AF641" s="248"/>
      <c r="AG641" s="257"/>
      <c r="AH641" s="248"/>
    </row>
    <row r="642" spans="18:34" ht="15.5" x14ac:dyDescent="0.35">
      <c r="R642" s="122"/>
      <c r="S642" s="49"/>
      <c r="T642" s="49"/>
      <c r="U642" s="13"/>
      <c r="V642" s="14"/>
      <c r="W642" s="15"/>
      <c r="X642" s="16"/>
      <c r="Y642" s="27"/>
      <c r="Z642" s="27"/>
      <c r="AA642" s="27"/>
      <c r="AB642" s="38"/>
      <c r="AC642" s="38"/>
      <c r="AD642" s="248"/>
      <c r="AE642" s="256"/>
      <c r="AF642" s="248"/>
      <c r="AG642" s="257"/>
      <c r="AH642" s="248"/>
    </row>
    <row r="643" spans="18:34" ht="15.5" x14ac:dyDescent="0.35">
      <c r="R643" s="122"/>
      <c r="S643" s="49"/>
      <c r="T643" s="49"/>
      <c r="U643" s="13"/>
      <c r="V643" s="14"/>
      <c r="W643" s="15"/>
      <c r="X643" s="16"/>
      <c r="Y643" s="27"/>
      <c r="Z643" s="27"/>
      <c r="AA643" s="27"/>
      <c r="AB643" s="38"/>
      <c r="AC643" s="38"/>
      <c r="AD643" s="248"/>
      <c r="AE643" s="256"/>
      <c r="AF643" s="248"/>
      <c r="AG643" s="257"/>
      <c r="AH643" s="248"/>
    </row>
    <row r="644" spans="18:34" ht="15.5" x14ac:dyDescent="0.35">
      <c r="R644" s="122"/>
      <c r="S644" s="49"/>
      <c r="T644" s="49"/>
      <c r="U644" s="13"/>
      <c r="V644" s="14"/>
      <c r="W644" s="15"/>
      <c r="X644" s="16"/>
      <c r="Y644" s="27"/>
      <c r="Z644" s="27"/>
      <c r="AA644" s="27"/>
      <c r="AB644" s="38"/>
      <c r="AC644" s="38"/>
      <c r="AD644" s="248"/>
      <c r="AE644" s="256"/>
      <c r="AF644" s="248"/>
      <c r="AG644" s="257"/>
      <c r="AH644" s="248"/>
    </row>
    <row r="645" spans="18:34" ht="15.5" x14ac:dyDescent="0.35">
      <c r="R645" s="122"/>
      <c r="S645" s="49"/>
      <c r="T645" s="49"/>
      <c r="U645" s="13"/>
      <c r="V645" s="14"/>
      <c r="W645" s="15"/>
      <c r="X645" s="16"/>
      <c r="Y645" s="27"/>
      <c r="Z645" s="27"/>
      <c r="AA645" s="27"/>
      <c r="AB645" s="38"/>
      <c r="AC645" s="38"/>
      <c r="AD645" s="248"/>
      <c r="AE645" s="256"/>
      <c r="AF645" s="248"/>
      <c r="AG645" s="257"/>
      <c r="AH645" s="248"/>
    </row>
    <row r="646" spans="18:34" ht="15.5" x14ac:dyDescent="0.35">
      <c r="R646" s="123"/>
      <c r="S646" s="49"/>
      <c r="T646" s="49"/>
      <c r="U646" s="4"/>
      <c r="V646" s="5"/>
      <c r="W646" s="3"/>
      <c r="X646" s="3"/>
      <c r="Y646" s="2"/>
      <c r="Z646" s="2"/>
      <c r="AA646" s="2"/>
      <c r="AB646" s="2"/>
      <c r="AC646" s="2"/>
      <c r="AD646" s="248"/>
      <c r="AE646" s="258"/>
      <c r="AF646" s="248"/>
      <c r="AG646" s="248"/>
      <c r="AH646" s="248"/>
    </row>
    <row r="647" spans="18:34" ht="15.5" x14ac:dyDescent="0.35">
      <c r="R647" s="123"/>
      <c r="S647" s="49"/>
      <c r="T647" s="49"/>
      <c r="U647" s="4"/>
      <c r="V647" s="5"/>
      <c r="W647" s="3"/>
      <c r="X647" s="3"/>
      <c r="Y647" s="2"/>
      <c r="Z647" s="2"/>
      <c r="AA647" s="2"/>
      <c r="AB647" s="2"/>
      <c r="AC647" s="2"/>
      <c r="AD647" s="248"/>
      <c r="AE647" s="258"/>
      <c r="AF647" s="248"/>
      <c r="AG647" s="248"/>
      <c r="AH647" s="248"/>
    </row>
    <row r="648" spans="18:34" ht="15.5" x14ac:dyDescent="0.35">
      <c r="R648" s="122"/>
      <c r="S648" s="49"/>
      <c r="T648" s="49"/>
      <c r="U648" s="4"/>
      <c r="V648" s="5"/>
      <c r="W648" s="3"/>
      <c r="X648" s="3"/>
      <c r="Y648" s="2"/>
      <c r="Z648" s="2"/>
      <c r="AA648" s="2"/>
      <c r="AB648" s="2"/>
      <c r="AC648" s="2"/>
      <c r="AD648" s="248"/>
      <c r="AE648" s="258"/>
      <c r="AF648" s="248"/>
      <c r="AG648" s="248"/>
      <c r="AH648" s="248"/>
    </row>
    <row r="649" spans="18:34" ht="15.5" x14ac:dyDescent="0.35">
      <c r="R649" s="122"/>
      <c r="S649" s="49"/>
      <c r="T649" s="49"/>
      <c r="U649" s="4"/>
      <c r="V649" s="5"/>
      <c r="W649" s="3"/>
      <c r="X649" s="3"/>
      <c r="Y649" s="2"/>
      <c r="Z649" s="2"/>
      <c r="AA649" s="2"/>
      <c r="AB649" s="2"/>
      <c r="AC649" s="2"/>
      <c r="AD649" s="248"/>
      <c r="AE649" s="258"/>
      <c r="AF649" s="248"/>
      <c r="AG649" s="248"/>
      <c r="AH649" s="248"/>
    </row>
    <row r="650" spans="18:34" ht="15.5" x14ac:dyDescent="0.35">
      <c r="R650" s="122"/>
      <c r="S650" s="49"/>
      <c r="T650" s="49"/>
      <c r="U650" s="13"/>
      <c r="V650" s="14"/>
      <c r="W650" s="15"/>
      <c r="X650" s="16"/>
      <c r="Y650" s="27"/>
      <c r="Z650" s="27"/>
      <c r="AA650" s="27"/>
      <c r="AB650" s="38"/>
      <c r="AC650" s="38"/>
      <c r="AD650" s="248"/>
      <c r="AE650" s="256"/>
      <c r="AF650" s="248"/>
      <c r="AG650" s="257"/>
      <c r="AH650" s="248"/>
    </row>
    <row r="651" spans="18:34" ht="15.5" x14ac:dyDescent="0.35">
      <c r="R651" s="122"/>
      <c r="S651" s="49"/>
      <c r="T651" s="49"/>
      <c r="U651" s="13"/>
      <c r="V651" s="14"/>
      <c r="W651" s="15"/>
      <c r="X651" s="16"/>
      <c r="Y651" s="27"/>
      <c r="Z651" s="27"/>
      <c r="AA651" s="27"/>
      <c r="AB651" s="38"/>
      <c r="AC651" s="38"/>
      <c r="AD651" s="248"/>
      <c r="AE651" s="256"/>
      <c r="AF651" s="248"/>
      <c r="AG651" s="257"/>
      <c r="AH651" s="248"/>
    </row>
    <row r="652" spans="18:34" ht="15.5" x14ac:dyDescent="0.35">
      <c r="R652" s="122"/>
      <c r="S652" s="49"/>
      <c r="T652" s="49"/>
      <c r="U652" s="4"/>
      <c r="V652" s="5"/>
      <c r="W652" s="3"/>
      <c r="X652" s="3"/>
      <c r="Y652" s="2"/>
      <c r="Z652" s="2"/>
      <c r="AA652" s="2"/>
      <c r="AB652" s="2"/>
      <c r="AC652" s="2"/>
      <c r="AD652" s="248"/>
      <c r="AE652" s="258"/>
      <c r="AF652" s="248"/>
      <c r="AG652" s="248"/>
      <c r="AH652" s="248"/>
    </row>
    <row r="653" spans="18:34" ht="15.5" x14ac:dyDescent="0.35">
      <c r="R653" s="122"/>
      <c r="S653" s="49"/>
      <c r="T653" s="49"/>
      <c r="U653" s="13"/>
      <c r="V653" s="14"/>
      <c r="W653" s="15"/>
      <c r="X653" s="16"/>
      <c r="Y653" s="1"/>
      <c r="Z653" s="2"/>
      <c r="AA653" s="2"/>
      <c r="AB653" s="38"/>
      <c r="AC653" s="38"/>
      <c r="AD653" s="248"/>
      <c r="AE653" s="251"/>
      <c r="AF653" s="248"/>
      <c r="AG653" s="248"/>
      <c r="AH653" s="248"/>
    </row>
    <row r="654" spans="18:34" ht="15.5" x14ac:dyDescent="0.35">
      <c r="R654" s="122"/>
      <c r="S654" s="49"/>
      <c r="T654" s="49"/>
      <c r="U654" s="13"/>
      <c r="V654" s="14"/>
      <c r="W654" s="15"/>
      <c r="X654" s="16"/>
      <c r="Y654" s="1"/>
      <c r="Z654" s="23"/>
      <c r="AA654" s="23"/>
      <c r="AB654" s="2"/>
      <c r="AC654" s="2"/>
      <c r="AD654" s="248"/>
      <c r="AE654" s="251"/>
      <c r="AF654" s="248"/>
      <c r="AG654" s="248"/>
      <c r="AH654" s="248"/>
    </row>
    <row r="655" spans="18:34" ht="15.5" x14ac:dyDescent="0.35">
      <c r="R655" s="122"/>
      <c r="S655" s="49"/>
      <c r="T655" s="49"/>
      <c r="U655" s="13"/>
      <c r="V655" s="14"/>
      <c r="W655" s="15"/>
      <c r="X655" s="16"/>
      <c r="Y655" s="1"/>
      <c r="Z655" s="2"/>
      <c r="AA655" s="2"/>
      <c r="AB655" s="38"/>
      <c r="AC655" s="38"/>
      <c r="AD655" s="248"/>
      <c r="AE655" s="251"/>
      <c r="AF655" s="248"/>
      <c r="AG655" s="248"/>
      <c r="AH655" s="248"/>
    </row>
    <row r="656" spans="18:34" ht="15.5" x14ac:dyDescent="0.35">
      <c r="R656" s="122"/>
      <c r="S656" s="49"/>
      <c r="T656" s="49"/>
      <c r="U656" s="4"/>
      <c r="V656" s="5"/>
      <c r="W656" s="3"/>
      <c r="X656" s="3"/>
      <c r="Y656" s="2"/>
      <c r="Z656" s="2"/>
      <c r="AA656" s="2"/>
      <c r="AB656" s="2"/>
      <c r="AC656" s="2"/>
      <c r="AD656" s="248"/>
      <c r="AE656" s="249"/>
      <c r="AF656" s="248"/>
      <c r="AG656" s="250"/>
      <c r="AH656" s="248"/>
    </row>
    <row r="657" spans="18:34" ht="15.5" x14ac:dyDescent="0.35">
      <c r="R657" s="122"/>
      <c r="S657" s="49"/>
      <c r="T657" s="49"/>
      <c r="U657" s="13"/>
      <c r="V657" s="14"/>
      <c r="W657" s="15"/>
      <c r="X657" s="16"/>
      <c r="Y657" s="1"/>
      <c r="Z657" s="2"/>
      <c r="AA657" s="2"/>
      <c r="AB657" s="38"/>
      <c r="AC657" s="38"/>
      <c r="AD657" s="248"/>
      <c r="AE657" s="251"/>
      <c r="AF657" s="248"/>
      <c r="AG657" s="248"/>
      <c r="AH657" s="248"/>
    </row>
    <row r="658" spans="18:34" ht="15.5" x14ac:dyDescent="0.35">
      <c r="R658" s="122"/>
      <c r="S658" s="49"/>
      <c r="T658" s="49"/>
      <c r="U658" s="13"/>
      <c r="V658" s="14"/>
      <c r="W658" s="15"/>
      <c r="X658" s="16"/>
      <c r="Y658" s="1"/>
      <c r="Z658" s="2"/>
      <c r="AA658" s="2"/>
      <c r="AB658" s="38"/>
      <c r="AC658" s="38"/>
      <c r="AD658" s="248"/>
      <c r="AE658" s="251"/>
      <c r="AF658" s="248"/>
      <c r="AG658" s="248"/>
      <c r="AH658" s="248"/>
    </row>
    <row r="659" spans="18:34" ht="15.5" x14ac:dyDescent="0.35">
      <c r="R659" s="122"/>
      <c r="S659" s="49"/>
      <c r="T659" s="49"/>
      <c r="U659" s="13"/>
      <c r="V659" s="14"/>
      <c r="W659" s="15"/>
      <c r="X659" s="16"/>
      <c r="Y659" s="1"/>
      <c r="Z659" s="2"/>
      <c r="AA659" s="2"/>
      <c r="AB659" s="38"/>
      <c r="AC659" s="38"/>
      <c r="AD659" s="248"/>
      <c r="AE659" s="251"/>
      <c r="AF659" s="248"/>
      <c r="AG659" s="248"/>
      <c r="AH659" s="248"/>
    </row>
    <row r="660" spans="18:34" ht="15.5" x14ac:dyDescent="0.35">
      <c r="R660" s="122"/>
      <c r="S660" s="49"/>
      <c r="T660" s="49"/>
      <c r="U660" s="13"/>
      <c r="V660" s="14"/>
      <c r="W660" s="15"/>
      <c r="X660" s="16"/>
      <c r="Y660" s="1"/>
      <c r="Z660" s="2"/>
      <c r="AA660" s="2"/>
      <c r="AB660" s="38"/>
      <c r="AC660" s="38"/>
      <c r="AD660" s="248"/>
      <c r="AE660" s="251"/>
      <c r="AF660" s="248"/>
      <c r="AG660" s="248"/>
      <c r="AH660" s="248"/>
    </row>
    <row r="661" spans="18:34" ht="15.5" x14ac:dyDescent="0.35">
      <c r="R661" s="122"/>
      <c r="S661" s="49"/>
      <c r="T661" s="49"/>
      <c r="U661" s="13"/>
      <c r="V661" s="14"/>
      <c r="W661" s="15"/>
      <c r="X661" s="16"/>
      <c r="Y661" s="1"/>
      <c r="Z661" s="2"/>
      <c r="AA661" s="2"/>
      <c r="AB661" s="38"/>
      <c r="AC661" s="38"/>
      <c r="AD661" s="248"/>
      <c r="AE661" s="251"/>
      <c r="AF661" s="248"/>
      <c r="AG661" s="248"/>
      <c r="AH661" s="248"/>
    </row>
    <row r="662" spans="18:34" ht="15.5" x14ac:dyDescent="0.35">
      <c r="R662" s="122"/>
      <c r="S662" s="49"/>
      <c r="T662" s="49"/>
      <c r="U662" s="13"/>
      <c r="V662" s="14"/>
      <c r="W662" s="15"/>
      <c r="X662" s="16"/>
      <c r="Y662" s="1"/>
      <c r="Z662" s="2"/>
      <c r="AA662" s="2"/>
      <c r="AB662" s="38"/>
      <c r="AC662" s="38"/>
      <c r="AD662" s="248"/>
      <c r="AE662" s="251"/>
      <c r="AF662" s="248"/>
      <c r="AG662" s="248"/>
      <c r="AH662" s="248"/>
    </row>
    <row r="663" spans="18:34" ht="15.5" x14ac:dyDescent="0.35">
      <c r="R663" s="122"/>
      <c r="S663" s="49"/>
      <c r="T663" s="49"/>
      <c r="U663" s="13"/>
      <c r="V663" s="14"/>
      <c r="W663" s="15"/>
      <c r="X663" s="16"/>
      <c r="Y663" s="1"/>
      <c r="Z663" s="2"/>
      <c r="AA663" s="2"/>
      <c r="AB663" s="38"/>
      <c r="AC663" s="38"/>
      <c r="AD663" s="248"/>
      <c r="AE663" s="251"/>
      <c r="AF663" s="248"/>
      <c r="AG663" s="248"/>
      <c r="AH663" s="248"/>
    </row>
    <row r="664" spans="18:34" ht="15.5" x14ac:dyDescent="0.35">
      <c r="R664" s="122"/>
      <c r="S664" s="49"/>
      <c r="T664" s="49"/>
      <c r="U664" s="4"/>
      <c r="V664" s="5"/>
      <c r="W664" s="3"/>
      <c r="X664" s="3"/>
      <c r="Y664" s="2"/>
      <c r="Z664" s="2"/>
      <c r="AA664" s="2"/>
      <c r="AB664" s="2"/>
      <c r="AC664" s="2"/>
      <c r="AD664" s="248"/>
      <c r="AE664" s="249"/>
      <c r="AF664" s="248"/>
      <c r="AG664" s="250"/>
      <c r="AH664" s="248"/>
    </row>
    <row r="665" spans="18:34" ht="15.5" x14ac:dyDescent="0.35">
      <c r="R665" s="122"/>
      <c r="S665" s="49"/>
      <c r="T665" s="49"/>
      <c r="U665" s="13"/>
      <c r="V665" s="14"/>
      <c r="W665" s="15"/>
      <c r="X665" s="16"/>
      <c r="Y665" s="1"/>
      <c r="Z665" s="2"/>
      <c r="AA665" s="2"/>
      <c r="AB665" s="38"/>
      <c r="AC665" s="38"/>
      <c r="AD665" s="248"/>
      <c r="AE665" s="251"/>
      <c r="AF665" s="248"/>
      <c r="AG665" s="248"/>
      <c r="AH665" s="248"/>
    </row>
    <row r="666" spans="18:34" ht="15.5" x14ac:dyDescent="0.35">
      <c r="R666" s="122"/>
      <c r="S666" s="49"/>
      <c r="T666" s="49"/>
      <c r="U666" s="13"/>
      <c r="V666" s="14"/>
      <c r="W666" s="15"/>
      <c r="X666" s="16"/>
      <c r="Y666" s="1"/>
      <c r="Z666" s="2"/>
      <c r="AA666" s="2"/>
      <c r="AB666" s="38"/>
      <c r="AC666" s="38"/>
      <c r="AD666" s="248"/>
      <c r="AE666" s="251"/>
      <c r="AF666" s="248"/>
      <c r="AG666" s="248"/>
      <c r="AH666" s="248"/>
    </row>
    <row r="667" spans="18:34" ht="15.5" x14ac:dyDescent="0.35">
      <c r="R667" s="122"/>
      <c r="S667" s="49"/>
      <c r="T667" s="49"/>
      <c r="U667" s="4"/>
      <c r="V667" s="5"/>
      <c r="W667" s="3"/>
      <c r="X667" s="3"/>
      <c r="Y667" s="2"/>
      <c r="Z667" s="2"/>
      <c r="AA667" s="2"/>
      <c r="AB667" s="2"/>
      <c r="AC667" s="2"/>
      <c r="AD667" s="248"/>
      <c r="AE667" s="249"/>
      <c r="AF667" s="248"/>
      <c r="AG667" s="250"/>
      <c r="AH667" s="248"/>
    </row>
    <row r="668" spans="18:34" ht="15.5" x14ac:dyDescent="0.35">
      <c r="R668" s="122"/>
      <c r="S668" s="49"/>
      <c r="T668" s="49"/>
      <c r="U668" s="4"/>
      <c r="V668" s="5"/>
      <c r="W668" s="3"/>
      <c r="X668" s="3"/>
      <c r="Y668" s="2"/>
      <c r="Z668" s="2"/>
      <c r="AA668" s="2"/>
      <c r="AB668" s="2"/>
      <c r="AC668" s="2"/>
      <c r="AD668" s="248"/>
      <c r="AE668" s="249"/>
      <c r="AF668" s="248"/>
      <c r="AG668" s="250"/>
      <c r="AH668" s="248"/>
    </row>
    <row r="669" spans="18:34" ht="15.5" x14ac:dyDescent="0.35">
      <c r="R669" s="122"/>
      <c r="S669" s="49"/>
      <c r="T669" s="49"/>
      <c r="U669" s="4"/>
      <c r="V669" s="5"/>
      <c r="W669" s="3"/>
      <c r="X669" s="3"/>
      <c r="Y669" s="2"/>
      <c r="Z669" s="2"/>
      <c r="AA669" s="2"/>
      <c r="AB669" s="2"/>
      <c r="AC669" s="2"/>
      <c r="AD669" s="248"/>
      <c r="AE669" s="249"/>
      <c r="AF669" s="248"/>
      <c r="AG669" s="250"/>
      <c r="AH669" s="248"/>
    </row>
    <row r="670" spans="18:34" ht="15.5" x14ac:dyDescent="0.35">
      <c r="R670" s="122"/>
      <c r="S670" s="49"/>
      <c r="T670" s="49"/>
      <c r="U670" s="13"/>
      <c r="V670" s="14"/>
      <c r="W670" s="15"/>
      <c r="X670" s="16"/>
      <c r="Y670" s="1"/>
      <c r="Z670" s="2"/>
      <c r="AA670" s="2"/>
      <c r="AB670" s="38"/>
      <c r="AC670" s="38"/>
      <c r="AD670" s="248"/>
      <c r="AE670" s="251"/>
      <c r="AF670" s="248"/>
      <c r="AG670" s="248"/>
      <c r="AH670" s="248"/>
    </row>
    <row r="671" spans="18:34" ht="15.5" x14ac:dyDescent="0.35">
      <c r="R671" s="122"/>
      <c r="S671" s="49"/>
      <c r="T671" s="49"/>
      <c r="U671" s="13"/>
      <c r="V671" s="14"/>
      <c r="W671" s="15"/>
      <c r="X671" s="16"/>
      <c r="Y671" s="1"/>
      <c r="Z671" s="2"/>
      <c r="AA671" s="2"/>
      <c r="AB671" s="38"/>
      <c r="AC671" s="38"/>
      <c r="AD671" s="248"/>
      <c r="AE671" s="251"/>
      <c r="AF671" s="248"/>
      <c r="AG671" s="248"/>
      <c r="AH671" s="248"/>
    </row>
    <row r="672" spans="18:34" ht="15.5" x14ac:dyDescent="0.35">
      <c r="R672" s="122"/>
      <c r="S672" s="49"/>
      <c r="T672" s="49"/>
      <c r="U672" s="4"/>
      <c r="V672" s="5"/>
      <c r="W672" s="3"/>
      <c r="X672" s="3"/>
      <c r="Y672" s="2"/>
      <c r="Z672" s="2"/>
      <c r="AA672" s="2"/>
      <c r="AB672" s="2"/>
      <c r="AC672" s="2"/>
      <c r="AD672" s="248"/>
      <c r="AE672" s="258"/>
      <c r="AF672" s="248"/>
      <c r="AG672" s="248"/>
      <c r="AH672" s="248"/>
    </row>
    <row r="673" spans="18:34" ht="15.5" x14ac:dyDescent="0.35">
      <c r="R673" s="122"/>
      <c r="S673" s="49"/>
      <c r="T673" s="49"/>
      <c r="U673" s="4"/>
      <c r="V673" s="5"/>
      <c r="W673" s="3"/>
      <c r="X673" s="3"/>
      <c r="Y673" s="2"/>
      <c r="Z673" s="2"/>
      <c r="AA673" s="2"/>
      <c r="AB673" s="2"/>
      <c r="AC673" s="2"/>
      <c r="AD673" s="248"/>
      <c r="AE673" s="258"/>
      <c r="AF673" s="248"/>
      <c r="AG673" s="248"/>
      <c r="AH673" s="248"/>
    </row>
    <row r="674" spans="18:34" ht="15.5" x14ac:dyDescent="0.35">
      <c r="R674" s="122"/>
      <c r="S674" s="49"/>
      <c r="T674" s="49"/>
      <c r="U674" s="4"/>
      <c r="V674" s="5"/>
      <c r="W674" s="3"/>
      <c r="X674" s="3"/>
      <c r="Y674" s="2"/>
      <c r="Z674" s="2"/>
      <c r="AA674" s="2"/>
      <c r="AB674" s="2"/>
      <c r="AC674" s="2"/>
      <c r="AD674" s="248"/>
      <c r="AE674" s="258"/>
      <c r="AF674" s="248"/>
      <c r="AG674" s="248"/>
      <c r="AH674" s="248"/>
    </row>
    <row r="675" spans="18:34" ht="15.5" x14ac:dyDescent="0.35">
      <c r="R675" s="122"/>
      <c r="S675" s="49"/>
      <c r="T675" s="49"/>
      <c r="U675" s="4"/>
      <c r="V675" s="5"/>
      <c r="W675" s="3"/>
      <c r="X675" s="3"/>
      <c r="Y675" s="2"/>
      <c r="Z675" s="2"/>
      <c r="AA675" s="2"/>
      <c r="AB675" s="2"/>
      <c r="AC675" s="2"/>
      <c r="AD675" s="248"/>
      <c r="AE675" s="258"/>
      <c r="AF675" s="248"/>
      <c r="AG675" s="248"/>
      <c r="AH675" s="248"/>
    </row>
    <row r="676" spans="18:34" ht="15.5" x14ac:dyDescent="0.35">
      <c r="R676" s="122"/>
      <c r="S676" s="49"/>
      <c r="T676" s="49"/>
      <c r="U676" s="13"/>
      <c r="V676" s="14"/>
      <c r="W676" s="15"/>
      <c r="X676" s="16"/>
      <c r="Y676" s="1"/>
      <c r="Z676" s="2"/>
      <c r="AA676" s="2"/>
      <c r="AB676" s="38"/>
      <c r="AC676" s="38"/>
      <c r="AD676" s="248"/>
      <c r="AE676" s="251"/>
      <c r="AF676" s="248"/>
      <c r="AG676" s="248"/>
      <c r="AH676" s="248"/>
    </row>
    <row r="677" spans="18:34" ht="15.5" x14ac:dyDescent="0.35">
      <c r="R677" s="122"/>
      <c r="S677" s="49"/>
      <c r="T677" s="49"/>
      <c r="U677" s="4"/>
      <c r="V677" s="5"/>
      <c r="W677" s="3"/>
      <c r="X677" s="3"/>
      <c r="Y677" s="2"/>
      <c r="Z677" s="2"/>
      <c r="AA677" s="2"/>
      <c r="AB677" s="2"/>
      <c r="AC677" s="2"/>
      <c r="AD677" s="248"/>
      <c r="AE677" s="258"/>
      <c r="AF677" s="248"/>
      <c r="AG677" s="248"/>
      <c r="AH677" s="248"/>
    </row>
    <row r="678" spans="18:34" ht="15.5" x14ac:dyDescent="0.35">
      <c r="R678" s="122"/>
      <c r="S678" s="49"/>
      <c r="T678" s="50"/>
      <c r="U678" s="21"/>
      <c r="V678" s="22"/>
      <c r="W678" s="26"/>
      <c r="X678" s="17"/>
      <c r="Y678" s="23"/>
      <c r="Z678" s="23"/>
      <c r="AA678" s="23"/>
      <c r="AB678" s="2"/>
      <c r="AC678" s="2"/>
      <c r="AD678" s="248"/>
      <c r="AE678" s="251"/>
      <c r="AF678" s="248"/>
      <c r="AG678" s="248"/>
      <c r="AH678" s="248"/>
    </row>
    <row r="679" spans="18:34" ht="15.5" x14ac:dyDescent="0.35">
      <c r="R679" s="122"/>
      <c r="S679" s="49"/>
      <c r="T679" s="49"/>
      <c r="U679" s="13"/>
      <c r="V679" s="14"/>
      <c r="W679" s="15"/>
      <c r="X679" s="16"/>
      <c r="Y679" s="1"/>
      <c r="Z679" s="2"/>
      <c r="AA679" s="2"/>
      <c r="AB679" s="38"/>
      <c r="AC679" s="38"/>
      <c r="AD679" s="248"/>
      <c r="AE679" s="251"/>
      <c r="AF679" s="248"/>
      <c r="AG679" s="248"/>
      <c r="AH679" s="248"/>
    </row>
    <row r="680" spans="18:34" ht="15.5" x14ac:dyDescent="0.35">
      <c r="R680" s="122"/>
      <c r="S680" s="49"/>
      <c r="T680" s="49"/>
      <c r="U680" s="4"/>
      <c r="V680" s="5"/>
      <c r="W680" s="3"/>
      <c r="X680" s="3"/>
      <c r="Y680" s="2"/>
      <c r="Z680" s="2"/>
      <c r="AA680" s="2"/>
      <c r="AB680" s="2"/>
      <c r="AC680" s="2"/>
      <c r="AD680" s="248"/>
      <c r="AE680" s="249"/>
      <c r="AF680" s="248"/>
      <c r="AG680" s="250"/>
      <c r="AH680" s="248"/>
    </row>
    <row r="681" spans="18:34" ht="15.5" x14ac:dyDescent="0.35">
      <c r="R681" s="122"/>
      <c r="S681" s="49"/>
      <c r="T681" s="49"/>
      <c r="U681" s="4"/>
      <c r="V681" s="5"/>
      <c r="W681" s="3"/>
      <c r="X681" s="3"/>
      <c r="Y681" s="2"/>
      <c r="Z681" s="2"/>
      <c r="AA681" s="2"/>
      <c r="AB681" s="2"/>
      <c r="AC681" s="2"/>
      <c r="AD681" s="248"/>
      <c r="AE681" s="249"/>
      <c r="AF681" s="248"/>
      <c r="AG681" s="250"/>
      <c r="AH681" s="248"/>
    </row>
    <row r="682" spans="18:34" ht="15.5" x14ac:dyDescent="0.35">
      <c r="R682" s="122"/>
      <c r="S682" s="49"/>
      <c r="T682" s="49"/>
      <c r="U682" s="4"/>
      <c r="V682" s="5"/>
      <c r="W682" s="3"/>
      <c r="X682" s="3"/>
      <c r="Y682" s="2"/>
      <c r="Z682" s="2"/>
      <c r="AA682" s="2"/>
      <c r="AB682" s="2"/>
      <c r="AC682" s="2"/>
      <c r="AD682" s="248"/>
      <c r="AE682" s="249"/>
      <c r="AF682" s="248"/>
      <c r="AG682" s="250"/>
      <c r="AH682" s="248"/>
    </row>
    <row r="683" spans="18:34" ht="15.5" x14ac:dyDescent="0.35">
      <c r="R683" s="122"/>
      <c r="S683" s="49"/>
      <c r="T683" s="49"/>
      <c r="U683" s="4"/>
      <c r="V683" s="5"/>
      <c r="W683" s="3"/>
      <c r="X683" s="3"/>
      <c r="Y683" s="2"/>
      <c r="Z683" s="2"/>
      <c r="AA683" s="2"/>
      <c r="AB683" s="2"/>
      <c r="AC683" s="2"/>
      <c r="AD683" s="248"/>
      <c r="AE683" s="249"/>
      <c r="AF683" s="248"/>
      <c r="AG683" s="250"/>
      <c r="AH683" s="248"/>
    </row>
    <row r="684" spans="18:34" ht="15.5" x14ac:dyDescent="0.35">
      <c r="R684" s="122"/>
      <c r="S684" s="49"/>
      <c r="T684" s="49"/>
      <c r="U684" s="13"/>
      <c r="V684" s="14"/>
      <c r="W684" s="15"/>
      <c r="X684" s="16"/>
      <c r="Y684" s="1"/>
      <c r="Z684" s="2"/>
      <c r="AA684" s="2"/>
      <c r="AB684" s="38"/>
      <c r="AC684" s="38"/>
      <c r="AD684" s="248"/>
      <c r="AE684" s="251"/>
      <c r="AF684" s="248"/>
      <c r="AG684" s="248"/>
      <c r="AH684" s="248"/>
    </row>
    <row r="685" spans="18:34" ht="15.5" x14ac:dyDescent="0.35">
      <c r="R685" s="122"/>
      <c r="S685" s="49"/>
      <c r="T685" s="49"/>
      <c r="U685" s="4"/>
      <c r="V685" s="5"/>
      <c r="W685" s="3"/>
      <c r="X685" s="3"/>
      <c r="Y685" s="2"/>
      <c r="Z685" s="2"/>
      <c r="AA685" s="2"/>
      <c r="AB685" s="2"/>
      <c r="AC685" s="2"/>
      <c r="AD685" s="248"/>
      <c r="AE685" s="249"/>
      <c r="AF685" s="248"/>
      <c r="AG685" s="248"/>
      <c r="AH685" s="248"/>
    </row>
    <row r="686" spans="18:34" ht="15.5" x14ac:dyDescent="0.35">
      <c r="R686" s="122"/>
      <c r="S686" s="49"/>
      <c r="T686" s="49"/>
      <c r="U686" s="4"/>
      <c r="V686" s="5"/>
      <c r="W686" s="3"/>
      <c r="X686" s="3"/>
      <c r="Y686" s="2"/>
      <c r="Z686" s="2"/>
      <c r="AA686" s="2"/>
      <c r="AB686" s="2"/>
      <c r="AC686" s="2"/>
      <c r="AD686" s="248"/>
      <c r="AE686" s="249"/>
      <c r="AF686" s="248"/>
      <c r="AG686" s="248"/>
      <c r="AH686" s="248"/>
    </row>
    <row r="687" spans="18:34" ht="15.5" x14ac:dyDescent="0.35">
      <c r="R687" s="122"/>
      <c r="S687" s="49"/>
      <c r="T687" s="49"/>
      <c r="U687" s="4"/>
      <c r="V687" s="5"/>
      <c r="W687" s="3"/>
      <c r="X687" s="3"/>
      <c r="Y687" s="2"/>
      <c r="Z687" s="2"/>
      <c r="AA687" s="2"/>
      <c r="AB687" s="2"/>
      <c r="AC687" s="2"/>
      <c r="AD687" s="248"/>
      <c r="AE687" s="249"/>
      <c r="AF687" s="248"/>
      <c r="AG687" s="248"/>
      <c r="AH687" s="248"/>
    </row>
    <row r="688" spans="18:34" ht="15.5" x14ac:dyDescent="0.35">
      <c r="R688" s="122"/>
      <c r="S688" s="49"/>
      <c r="T688" s="49"/>
      <c r="U688" s="4"/>
      <c r="V688" s="5"/>
      <c r="W688" s="3"/>
      <c r="X688" s="3"/>
      <c r="Y688" s="2"/>
      <c r="Z688" s="2"/>
      <c r="AA688" s="2"/>
      <c r="AB688" s="2"/>
      <c r="AC688" s="2"/>
      <c r="AD688" s="248"/>
      <c r="AE688" s="249"/>
      <c r="AF688" s="248"/>
      <c r="AG688" s="248"/>
      <c r="AH688" s="248"/>
    </row>
    <row r="689" spans="18:34" ht="15.5" x14ac:dyDescent="0.35">
      <c r="R689" s="122"/>
      <c r="S689" s="49"/>
      <c r="T689" s="50"/>
      <c r="U689" s="21"/>
      <c r="V689" s="22"/>
      <c r="W689" s="26"/>
      <c r="X689" s="17"/>
      <c r="Y689" s="23"/>
      <c r="Z689" s="23"/>
      <c r="AA689" s="23"/>
      <c r="AB689" s="2"/>
      <c r="AC689" s="2"/>
      <c r="AD689" s="248"/>
      <c r="AE689" s="251"/>
      <c r="AF689" s="248"/>
      <c r="AG689" s="248"/>
      <c r="AH689" s="248"/>
    </row>
    <row r="690" spans="18:34" ht="15.5" x14ac:dyDescent="0.35">
      <c r="R690" s="124"/>
      <c r="S690" s="56"/>
      <c r="T690" s="49"/>
      <c r="U690" s="4"/>
      <c r="V690" s="5"/>
      <c r="W690" s="3"/>
      <c r="X690" s="3"/>
      <c r="Y690" s="2"/>
      <c r="Z690" s="2"/>
      <c r="AA690" s="2"/>
      <c r="AB690" s="2"/>
      <c r="AC690" s="2"/>
      <c r="AD690" s="248"/>
      <c r="AE690" s="249"/>
      <c r="AF690" s="248"/>
      <c r="AG690" s="248"/>
      <c r="AH690" s="248"/>
    </row>
    <row r="691" spans="18:34" ht="15.5" x14ac:dyDescent="0.35">
      <c r="R691" s="122"/>
      <c r="S691" s="49"/>
      <c r="T691" s="50"/>
      <c r="U691" s="21"/>
      <c r="V691" s="22"/>
      <c r="W691" s="26"/>
      <c r="X691" s="17"/>
      <c r="Y691" s="23"/>
      <c r="Z691" s="23"/>
      <c r="AA691" s="23"/>
      <c r="AB691" s="2"/>
      <c r="AC691" s="2"/>
      <c r="AD691" s="248"/>
      <c r="AE691" s="251"/>
      <c r="AF691" s="248"/>
      <c r="AG691" s="248"/>
      <c r="AH691" s="248"/>
    </row>
    <row r="692" spans="18:34" ht="15.5" x14ac:dyDescent="0.35">
      <c r="R692" s="122"/>
      <c r="S692" s="49"/>
      <c r="T692" s="50"/>
      <c r="U692" s="21"/>
      <c r="V692" s="22"/>
      <c r="W692" s="26"/>
      <c r="X692" s="17"/>
      <c r="Y692" s="23"/>
      <c r="Z692" s="23"/>
      <c r="AA692" s="23"/>
      <c r="AB692" s="2"/>
      <c r="AC692" s="2"/>
      <c r="AD692" s="248"/>
      <c r="AE692" s="251"/>
      <c r="AF692" s="248"/>
      <c r="AG692" s="248"/>
      <c r="AH692" s="248"/>
    </row>
    <row r="693" spans="18:34" ht="15.5" x14ac:dyDescent="0.35">
      <c r="R693" s="122"/>
      <c r="S693" s="49"/>
      <c r="T693" s="49"/>
      <c r="U693" s="4"/>
      <c r="V693" s="5"/>
      <c r="W693" s="3"/>
      <c r="X693" s="3"/>
      <c r="Y693" s="2"/>
      <c r="Z693" s="2"/>
      <c r="AA693" s="2"/>
      <c r="AB693" s="2"/>
      <c r="AC693" s="2"/>
      <c r="AD693" s="248"/>
      <c r="AE693" s="249"/>
      <c r="AF693" s="248"/>
      <c r="AG693" s="248"/>
      <c r="AH693" s="248"/>
    </row>
    <row r="694" spans="18:34" ht="15.5" x14ac:dyDescent="0.35">
      <c r="R694" s="122"/>
      <c r="S694" s="49"/>
      <c r="T694" s="49"/>
      <c r="U694" s="4"/>
      <c r="V694" s="5"/>
      <c r="W694" s="3"/>
      <c r="X694" s="3"/>
      <c r="Y694" s="2"/>
      <c r="Z694" s="2"/>
      <c r="AA694" s="2"/>
      <c r="AB694" s="2"/>
      <c r="AC694" s="2"/>
      <c r="AD694" s="248"/>
      <c r="AE694" s="249"/>
      <c r="AF694" s="248"/>
      <c r="AG694" s="248"/>
      <c r="AH694" s="248"/>
    </row>
    <row r="695" spans="18:34" ht="15.5" x14ac:dyDescent="0.35">
      <c r="R695" s="122"/>
      <c r="S695" s="49"/>
      <c r="T695" s="49"/>
      <c r="U695" s="4"/>
      <c r="V695" s="5"/>
      <c r="W695" s="3"/>
      <c r="X695" s="3"/>
      <c r="Y695" s="2"/>
      <c r="Z695" s="2"/>
      <c r="AA695" s="2"/>
      <c r="AB695" s="2"/>
      <c r="AC695" s="2"/>
      <c r="AD695" s="248"/>
      <c r="AE695" s="249"/>
      <c r="AF695" s="248"/>
      <c r="AG695" s="248"/>
      <c r="AH695" s="248"/>
    </row>
    <row r="696" spans="18:34" ht="15.5" x14ac:dyDescent="0.35">
      <c r="R696" s="122"/>
      <c r="S696" s="49"/>
      <c r="T696" s="50"/>
      <c r="U696" s="21"/>
      <c r="V696" s="22"/>
      <c r="W696" s="26"/>
      <c r="X696" s="17"/>
      <c r="Y696" s="23"/>
      <c r="Z696" s="23"/>
      <c r="AA696" s="23"/>
      <c r="AB696" s="2"/>
      <c r="AC696" s="2"/>
      <c r="AD696" s="248"/>
      <c r="AE696" s="251"/>
      <c r="AF696" s="248"/>
      <c r="AG696" s="248"/>
      <c r="AH696" s="248"/>
    </row>
    <row r="697" spans="18:34" ht="15.5" x14ac:dyDescent="0.35">
      <c r="R697" s="122"/>
      <c r="S697" s="49"/>
      <c r="T697" s="49"/>
      <c r="U697" s="4"/>
      <c r="V697" s="5"/>
      <c r="W697" s="3"/>
      <c r="X697" s="3"/>
      <c r="Y697" s="2"/>
      <c r="Z697" s="2"/>
      <c r="AA697" s="2"/>
      <c r="AB697" s="2"/>
      <c r="AC697" s="2"/>
      <c r="AD697" s="248"/>
      <c r="AE697" s="249"/>
      <c r="AF697" s="248"/>
      <c r="AG697" s="248"/>
      <c r="AH697" s="248"/>
    </row>
    <row r="698" spans="18:34" ht="15.5" x14ac:dyDescent="0.35">
      <c r="R698" s="122"/>
      <c r="S698" s="49"/>
      <c r="T698" s="49"/>
      <c r="U698" s="4"/>
      <c r="V698" s="5"/>
      <c r="W698" s="3"/>
      <c r="X698" s="3"/>
      <c r="Y698" s="2"/>
      <c r="Z698" s="2"/>
      <c r="AA698" s="2"/>
      <c r="AB698" s="2"/>
      <c r="AC698" s="2"/>
      <c r="AD698" s="248"/>
      <c r="AE698" s="249"/>
      <c r="AF698" s="248"/>
      <c r="AG698" s="248"/>
      <c r="AH698" s="248"/>
    </row>
    <row r="699" spans="18:34" ht="15.5" x14ac:dyDescent="0.35">
      <c r="R699" s="122"/>
      <c r="S699" s="49"/>
      <c r="T699" s="49"/>
      <c r="U699" s="4"/>
      <c r="V699" s="5"/>
      <c r="W699" s="3"/>
      <c r="X699" s="3"/>
      <c r="Y699" s="2"/>
      <c r="Z699" s="2"/>
      <c r="AA699" s="2"/>
      <c r="AB699" s="2"/>
      <c r="AC699" s="2"/>
      <c r="AD699" s="248"/>
      <c r="AE699" s="249"/>
      <c r="AF699" s="248"/>
      <c r="AG699" s="248"/>
      <c r="AH699" s="248"/>
    </row>
    <row r="700" spans="18:34" ht="15.5" x14ac:dyDescent="0.35">
      <c r="R700" s="122"/>
      <c r="S700" s="49"/>
      <c r="T700" s="49"/>
      <c r="U700" s="4"/>
      <c r="V700" s="5"/>
      <c r="W700" s="3"/>
      <c r="X700" s="3"/>
      <c r="Y700" s="2"/>
      <c r="Z700" s="2"/>
      <c r="AA700" s="2"/>
      <c r="AB700" s="2"/>
      <c r="AC700" s="2"/>
      <c r="AD700" s="260"/>
      <c r="AE700" s="261"/>
      <c r="AF700" s="248"/>
      <c r="AG700" s="260"/>
      <c r="AH700" s="262"/>
    </row>
    <row r="701" spans="18:34" ht="15.5" x14ac:dyDescent="0.35">
      <c r="R701" s="122"/>
      <c r="S701" s="49"/>
      <c r="T701" s="49"/>
      <c r="U701" s="4"/>
      <c r="V701" s="5"/>
      <c r="W701" s="3"/>
      <c r="X701" s="3"/>
      <c r="Y701" s="2"/>
      <c r="Z701" s="2"/>
      <c r="AA701" s="2"/>
      <c r="AB701" s="2"/>
      <c r="AC701" s="2"/>
      <c r="AD701" s="260"/>
      <c r="AE701" s="261"/>
      <c r="AF701" s="248"/>
      <c r="AG701" s="260"/>
      <c r="AH701" s="262"/>
    </row>
    <row r="702" spans="18:34" ht="15.5" x14ac:dyDescent="0.35">
      <c r="R702" s="122"/>
      <c r="S702" s="49"/>
      <c r="T702" s="49"/>
      <c r="U702" s="4"/>
      <c r="V702" s="5"/>
      <c r="W702" s="3"/>
      <c r="X702" s="3"/>
      <c r="Y702" s="2"/>
      <c r="Z702" s="2"/>
      <c r="AA702" s="2"/>
      <c r="AB702" s="2"/>
      <c r="AC702" s="2"/>
      <c r="AD702" s="260"/>
      <c r="AE702" s="261"/>
      <c r="AF702" s="248"/>
      <c r="AG702" s="260"/>
      <c r="AH702" s="262"/>
    </row>
    <row r="703" spans="18:34" ht="15.5" x14ac:dyDescent="0.35">
      <c r="R703" s="122"/>
      <c r="S703" s="49"/>
      <c r="T703" s="49"/>
      <c r="U703" s="4"/>
      <c r="V703" s="5"/>
      <c r="W703" s="3"/>
      <c r="X703" s="3"/>
      <c r="Y703" s="2"/>
      <c r="Z703" s="2"/>
      <c r="AA703" s="2"/>
      <c r="AB703" s="2"/>
      <c r="AC703" s="2"/>
      <c r="AD703" s="260"/>
      <c r="AE703" s="261"/>
      <c r="AF703" s="248"/>
      <c r="AG703" s="260"/>
      <c r="AH703" s="262"/>
    </row>
    <row r="704" spans="18:34" ht="15.5" x14ac:dyDescent="0.35">
      <c r="R704" s="122"/>
      <c r="S704" s="49"/>
      <c r="T704" s="49"/>
      <c r="U704" s="4"/>
      <c r="V704" s="5"/>
      <c r="W704" s="3"/>
      <c r="X704" s="3"/>
      <c r="Y704" s="2"/>
      <c r="Z704" s="2"/>
      <c r="AA704" s="2"/>
      <c r="AB704" s="2"/>
      <c r="AC704" s="2"/>
      <c r="AD704" s="260"/>
      <c r="AE704" s="261"/>
      <c r="AF704" s="248"/>
      <c r="AG704" s="260"/>
      <c r="AH704" s="262"/>
    </row>
  </sheetData>
  <sheetProtection sheet="1" selectLockedCells="1"/>
  <dataValidations disablePrompts="1" count="1">
    <dataValidation type="date" allowBlank="1" showInputMessage="1" showErrorMessage="1" sqref="D1:E1 U20" xr:uid="{D3EDF0BE-75F8-4DDD-81BE-BA4414E39481}">
      <formula1>1</formula1>
      <formula2>45291</formula2>
    </dataValidation>
  </dataValidations>
  <pageMargins left="0.70866141732283472" right="0.70866141732283472" top="0.74803149606299213" bottom="0.74803149606299213" header="0.31496062992125984" footer="0.31496062992125984"/>
  <pageSetup paperSize="9" scale="76" orientation="landscape" r:id="rId1"/>
  <ignoredErrors>
    <ignoredError sqref="B30:D65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Détail_paiement">
                <anchor moveWithCells="1" sizeWithCells="1">
                  <from>
                    <xdr:col>9</xdr:col>
                    <xdr:colOff>114300</xdr:colOff>
                    <xdr:row>5</xdr:row>
                    <xdr:rowOff>279400</xdr:rowOff>
                  </from>
                  <to>
                    <xdr:col>13</xdr:col>
                    <xdr:colOff>876300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Réinitialiser_recherche">
                <anchor moveWithCells="1" sizeWithCells="1">
                  <from>
                    <xdr:col>9</xdr:col>
                    <xdr:colOff>114300</xdr:colOff>
                    <xdr:row>9</xdr:row>
                    <xdr:rowOff>152400</xdr:rowOff>
                  </from>
                  <to>
                    <xdr:col>13</xdr:col>
                    <xdr:colOff>876300</xdr:colOff>
                    <xdr:row>12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95816-1F4A-4747-9573-943D2F59D99D}">
  <sheetPr codeName="Feuil11">
    <pageSetUpPr fitToPage="1"/>
  </sheetPr>
  <dimension ref="A1:U65"/>
  <sheetViews>
    <sheetView showGridLines="0" zoomScaleNormal="100" workbookViewId="0">
      <pane xSplit="11" ySplit="27" topLeftCell="Q31" activePane="bottomRight" state="frozen"/>
      <selection activeCell="A3" sqref="A3"/>
      <selection pane="topRight" activeCell="L3" sqref="L3"/>
      <selection pane="bottomLeft" activeCell="A28" sqref="A28"/>
      <selection pane="bottomRight" activeCell="H6" sqref="H6"/>
    </sheetView>
  </sheetViews>
  <sheetFormatPr baseColWidth="10" defaultColWidth="11.54296875" defaultRowHeight="14.5" x14ac:dyDescent="0.35"/>
  <cols>
    <col min="1" max="1" width="3.54296875" style="142" customWidth="1"/>
    <col min="2" max="2" width="32.7265625" style="142" customWidth="1"/>
    <col min="3" max="3" width="7.7265625" style="142" customWidth="1"/>
    <col min="4" max="4" width="41.26953125" style="142" customWidth="1"/>
    <col min="5" max="5" width="3.54296875" style="142" customWidth="1"/>
    <col min="6" max="6" width="25.54296875" style="142" customWidth="1"/>
    <col min="7" max="7" width="1.453125" style="142" customWidth="1"/>
    <col min="8" max="8" width="33.1796875" style="142" customWidth="1"/>
    <col min="9" max="9" width="9.7265625" style="142" customWidth="1"/>
    <col min="10" max="10" width="7.7265625" style="142" customWidth="1"/>
    <col min="11" max="11" width="27.26953125" style="142" customWidth="1"/>
    <col min="12" max="12" width="11.1796875" customWidth="1"/>
    <col min="13" max="13" width="1.7265625" customWidth="1"/>
    <col min="14" max="18" width="11.54296875" customWidth="1"/>
    <col min="19" max="21" width="11.453125" customWidth="1"/>
    <col min="22" max="16384" width="11.54296875" style="142"/>
  </cols>
  <sheetData>
    <row r="1" spans="1:18" ht="9" hidden="1" customHeight="1" x14ac:dyDescent="0.35">
      <c r="A1" s="143" t="s">
        <v>30</v>
      </c>
      <c r="B1" s="144" t="s">
        <v>37</v>
      </c>
      <c r="C1" s="145" t="s">
        <v>38</v>
      </c>
      <c r="D1" s="146" t="s">
        <v>33</v>
      </c>
      <c r="E1" s="147" t="s">
        <v>42</v>
      </c>
      <c r="F1" s="148" t="s">
        <v>24</v>
      </c>
      <c r="G1" s="148" t="s">
        <v>34</v>
      </c>
      <c r="H1" s="149" t="s">
        <v>35</v>
      </c>
      <c r="I1" s="149" t="s">
        <v>36</v>
      </c>
      <c r="J1" s="149" t="s">
        <v>69</v>
      </c>
      <c r="K1" s="149" t="s">
        <v>0</v>
      </c>
      <c r="L1" s="149" t="s">
        <v>47</v>
      </c>
      <c r="M1" s="150" t="s">
        <v>25</v>
      </c>
      <c r="N1" s="151" t="s">
        <v>45</v>
      </c>
    </row>
    <row r="2" spans="1:18" ht="12.75" hidden="1" customHeight="1" x14ac:dyDescent="0.35">
      <c r="A2" s="127">
        <f>D7</f>
        <v>403</v>
      </c>
      <c r="B2" t="str">
        <f>D11</f>
        <v/>
      </c>
      <c r="C2" t="str">
        <f>D9</f>
        <v/>
      </c>
      <c r="D2" s="125">
        <f>D13</f>
        <v>0</v>
      </c>
      <c r="E2" t="str">
        <f>D15</f>
        <v>M</v>
      </c>
      <c r="F2" t="str">
        <f>D19</f>
        <v/>
      </c>
      <c r="G2" t="str">
        <f>D20</f>
        <v/>
      </c>
      <c r="H2" t="str">
        <f>H19</f>
        <v/>
      </c>
      <c r="I2" t="str">
        <f>D22</f>
        <v>ND</v>
      </c>
      <c r="J2"/>
      <c r="K2" t="str">
        <f>H9</f>
        <v/>
      </c>
      <c r="L2" t="str">
        <f>H11</f>
        <v>ND</v>
      </c>
      <c r="M2" s="156" t="str">
        <f>H13</f>
        <v/>
      </c>
      <c r="N2" s="159" t="str">
        <f>H15</f>
        <v/>
      </c>
    </row>
    <row r="3" spans="1:18" ht="8.5" customHeight="1" x14ac:dyDescent="0.35">
      <c r="A3"/>
      <c r="B3"/>
      <c r="C3"/>
      <c r="D3"/>
      <c r="E3"/>
      <c r="F3"/>
      <c r="G3"/>
      <c r="H3"/>
      <c r="I3"/>
      <c r="J3"/>
      <c r="K3"/>
    </row>
    <row r="4" spans="1:18" ht="4.1500000000000004" customHeight="1" x14ac:dyDescent="0.35">
      <c r="A4"/>
      <c r="B4"/>
      <c r="C4"/>
      <c r="D4"/>
      <c r="E4"/>
      <c r="F4"/>
      <c r="G4"/>
      <c r="H4"/>
      <c r="I4"/>
      <c r="J4"/>
      <c r="K4"/>
    </row>
    <row r="5" spans="1:18" ht="31" x14ac:dyDescent="0.7">
      <c r="A5"/>
      <c r="B5" s="131" t="s">
        <v>177</v>
      </c>
      <c r="C5" s="132"/>
      <c r="D5" s="132"/>
      <c r="E5" s="132"/>
      <c r="F5" s="132"/>
      <c r="G5" s="132"/>
      <c r="H5" s="132"/>
      <c r="I5"/>
      <c r="J5"/>
      <c r="K5"/>
      <c r="N5" s="284">
        <f>IF(AND(Prénom&lt;&gt;"",Nom&lt;&gt;"",Naissance&lt;&gt;"",Sex&lt;&gt;"",Tel_1&lt;&gt;"",Tipo&lt;&gt;"",Groupe&lt;&gt;"",Entraineur&lt;&gt;"",Cotisation&lt;&gt;""),1,0)</f>
        <v>0</v>
      </c>
    </row>
    <row r="6" spans="1:18" ht="39.65" customHeight="1" x14ac:dyDescent="0.35">
      <c r="A6"/>
      <c r="B6"/>
      <c r="C6"/>
      <c r="D6"/>
      <c r="E6"/>
      <c r="F6"/>
      <c r="G6"/>
      <c r="H6"/>
      <c r="I6"/>
      <c r="J6"/>
      <c r="K6"/>
      <c r="N6" s="284" t="e">
        <f>"A"&amp;MATCH(D7,'Liste gobale'!A:A,0)</f>
        <v>#N/A</v>
      </c>
    </row>
    <row r="7" spans="1:18" ht="22.9" customHeight="1" x14ac:dyDescent="0.5">
      <c r="A7"/>
      <c r="B7" s="133" t="s">
        <v>30</v>
      </c>
      <c r="C7" s="129"/>
      <c r="D7" s="139">
        <v>403</v>
      </c>
      <c r="E7" s="129"/>
      <c r="F7" s="133"/>
      <c r="G7" s="129"/>
      <c r="H7" s="133"/>
      <c r="I7"/>
      <c r="J7"/>
      <c r="K7"/>
    </row>
    <row r="8" spans="1:18" ht="9" customHeight="1" x14ac:dyDescent="0.5">
      <c r="A8"/>
      <c r="B8" s="133"/>
      <c r="C8" s="129"/>
      <c r="D8" s="129"/>
      <c r="E8" s="129"/>
      <c r="F8" s="133"/>
      <c r="G8" s="129"/>
      <c r="H8" s="129"/>
      <c r="I8"/>
      <c r="J8"/>
      <c r="K8"/>
    </row>
    <row r="9" spans="1:18" ht="22.9" customHeight="1" x14ac:dyDescent="0.5">
      <c r="A9"/>
      <c r="B9" s="133" t="s">
        <v>178</v>
      </c>
      <c r="C9" s="129"/>
      <c r="D9" s="138" t="str">
        <f>IFERROR(VLOOKUP(D7,'Liste gobale'!A:L,3,FALSE),"")</f>
        <v/>
      </c>
      <c r="E9" s="129"/>
      <c r="F9" s="133" t="s">
        <v>0</v>
      </c>
      <c r="G9" s="129"/>
      <c r="H9" s="139" t="str">
        <f>IFERROR(VLOOKUP(D7,'Liste gobale'!A:L,11,FALSE),"")</f>
        <v/>
      </c>
      <c r="I9"/>
      <c r="J9"/>
      <c r="K9"/>
      <c r="P9" s="138" t="str">
        <f>IFERROR(VLOOKUP(P7,'Liste gobale'!M:Y,3,FALSE),"")</f>
        <v/>
      </c>
      <c r="R9" s="139" t="str">
        <f>IFERROR(VLOOKUP(N7,'Liste gobale'!K:W,11,FALSE),"")</f>
        <v/>
      </c>
    </row>
    <row r="10" spans="1:18" ht="9" customHeight="1" x14ac:dyDescent="0.5">
      <c r="A10"/>
      <c r="B10" s="133"/>
      <c r="C10" s="129"/>
      <c r="D10" s="129"/>
      <c r="E10" s="129"/>
      <c r="F10" s="133"/>
      <c r="G10" s="129"/>
      <c r="H10" s="129"/>
      <c r="I10"/>
      <c r="J10"/>
      <c r="K10"/>
      <c r="P10" s="129"/>
      <c r="R10" s="129"/>
    </row>
    <row r="11" spans="1:18" ht="22.9" customHeight="1" x14ac:dyDescent="0.5">
      <c r="A11"/>
      <c r="B11" s="133" t="s">
        <v>179</v>
      </c>
      <c r="C11" s="129"/>
      <c r="D11" s="138" t="str">
        <f>IFERROR(VLOOKUP(D7,'Liste gobale'!A:L,2,FALSE),"")</f>
        <v/>
      </c>
      <c r="E11" s="129"/>
      <c r="F11" s="133" t="s">
        <v>47</v>
      </c>
      <c r="G11" s="129"/>
      <c r="H11" s="138" t="str">
        <f>IFERROR(VLOOKUP(D7,'Liste gobale'!A:L,12,FALSE),"ND")</f>
        <v>ND</v>
      </c>
      <c r="I11"/>
      <c r="J11"/>
      <c r="K11"/>
      <c r="P11" s="138" t="str">
        <f>IFERROR(VLOOKUP(P7,'Liste gobale'!M:Y,2,FALSE),"")</f>
        <v/>
      </c>
      <c r="R11" s="138" t="str">
        <f>IFERROR(VLOOKUP(N7,'Liste gobale'!K:W,12,FALSE),"ND")</f>
        <v>ND</v>
      </c>
    </row>
    <row r="12" spans="1:18" ht="9" customHeight="1" x14ac:dyDescent="0.55000000000000004">
      <c r="A12"/>
      <c r="B12" s="134"/>
      <c r="C12" s="130"/>
      <c r="D12" s="130"/>
      <c r="E12" s="130"/>
      <c r="F12" s="134"/>
      <c r="G12" s="130"/>
      <c r="H12" s="130"/>
      <c r="I12"/>
      <c r="J12"/>
      <c r="K12"/>
      <c r="P12" s="130"/>
      <c r="R12" s="130"/>
    </row>
    <row r="13" spans="1:18" ht="22.9" customHeight="1" x14ac:dyDescent="0.5">
      <c r="A13"/>
      <c r="B13" s="133" t="s">
        <v>33</v>
      </c>
      <c r="C13" s="129"/>
      <c r="D13" s="137">
        <f>IFERROR(VLOOKUP(D7,'Liste gobale'!A:L,4,FALSE),0)</f>
        <v>0</v>
      </c>
      <c r="E13" s="129"/>
      <c r="F13" s="133" t="s">
        <v>25</v>
      </c>
      <c r="G13" s="129"/>
      <c r="H13" s="141" t="str">
        <f>IFERROR(VLOOKUP(D7,'Liste gobale'!A:M,13,FALSE),"")</f>
        <v/>
      </c>
      <c r="I13"/>
      <c r="J13"/>
      <c r="K13"/>
      <c r="P13" s="137">
        <f>IFERROR(VLOOKUP(P7,'Liste gobale'!M:Y,4,FALSE),0)</f>
        <v>0</v>
      </c>
      <c r="R13" s="141" t="str">
        <f>IFERROR(VLOOKUP(N7,'Liste gobale'!K:X,13,FALSE),"")</f>
        <v/>
      </c>
    </row>
    <row r="14" spans="1:18" ht="9" customHeight="1" x14ac:dyDescent="0.5">
      <c r="A14"/>
      <c r="B14" s="133"/>
      <c r="C14" s="129"/>
      <c r="D14" s="129"/>
      <c r="E14" s="129"/>
      <c r="F14" s="133"/>
      <c r="G14" s="129"/>
      <c r="H14" s="129"/>
      <c r="I14"/>
      <c r="J14"/>
      <c r="K14"/>
      <c r="P14" s="129"/>
      <c r="R14" s="129"/>
    </row>
    <row r="15" spans="1:18" ht="22.9" customHeight="1" x14ac:dyDescent="0.5">
      <c r="A15"/>
      <c r="B15" s="133" t="s">
        <v>42</v>
      </c>
      <c r="C15" s="129"/>
      <c r="D15" s="139" t="str">
        <f>IFERROR(VLOOKUP(D7,'Liste gobale'!A:L,5,FALSE),"M")</f>
        <v>M</v>
      </c>
      <c r="E15" s="129"/>
      <c r="F15" s="133" t="s">
        <v>45</v>
      </c>
      <c r="G15" s="129"/>
      <c r="H15" s="136" t="str">
        <f>IFERROR(VLOOKUP(D7,'Liste gobale'!A:N,14,FALSE),"")</f>
        <v/>
      </c>
      <c r="I15"/>
      <c r="J15"/>
      <c r="K15"/>
      <c r="P15" s="139" t="str">
        <f>IFERROR(VLOOKUP(P7,'Liste gobale'!M:Y,5,FALSE),"M")</f>
        <v>M</v>
      </c>
      <c r="R15" s="136" t="str">
        <f>IFERROR(VLOOKUP(N7,'Liste gobale'!K:Y,14,FALSE),"")</f>
        <v/>
      </c>
    </row>
    <row r="16" spans="1:18" ht="9" customHeight="1" x14ac:dyDescent="0.5">
      <c r="A16"/>
      <c r="B16" s="133"/>
      <c r="C16" s="129"/>
      <c r="D16" s="129"/>
      <c r="E16" s="129"/>
      <c r="F16" s="133"/>
      <c r="G16" s="129"/>
      <c r="H16" s="129"/>
      <c r="I16"/>
      <c r="J16"/>
      <c r="K16"/>
      <c r="P16" s="129"/>
      <c r="R16" s="129"/>
    </row>
    <row r="17" spans="1:18" ht="22.9" customHeight="1" x14ac:dyDescent="0.5">
      <c r="A17"/>
      <c r="B17" s="133" t="s">
        <v>155</v>
      </c>
      <c r="C17" s="129"/>
      <c r="D17" s="139"/>
      <c r="E17" s="129"/>
      <c r="F17" s="133" t="s">
        <v>153</v>
      </c>
      <c r="G17" s="129"/>
      <c r="H17" s="135" t="str">
        <f>IFERROR(H13-(H13*H15),"")</f>
        <v/>
      </c>
      <c r="I17"/>
      <c r="J17"/>
      <c r="K17"/>
      <c r="P17" s="139"/>
      <c r="R17" s="135" t="str">
        <f>IFERROR(R13-(R13*R15),"")</f>
        <v/>
      </c>
    </row>
    <row r="18" spans="1:18" ht="9" customHeight="1" x14ac:dyDescent="0.55000000000000004">
      <c r="A18"/>
      <c r="B18" s="134"/>
      <c r="C18" s="130"/>
      <c r="D18" s="130"/>
      <c r="E18" s="129"/>
      <c r="F18" s="133"/>
      <c r="G18" s="129"/>
      <c r="H18" s="129"/>
      <c r="I18"/>
      <c r="J18"/>
      <c r="K18"/>
      <c r="P18" s="130"/>
      <c r="R18" s="129"/>
    </row>
    <row r="19" spans="1:18" ht="22.9" customHeight="1" x14ac:dyDescent="0.5">
      <c r="A19"/>
      <c r="B19" s="133" t="s">
        <v>24</v>
      </c>
      <c r="C19" s="129"/>
      <c r="D19" s="140" t="str">
        <f>IFERROR(VLOOKUP(D7,'Liste gobale'!A:L,6,FALSE),"")</f>
        <v/>
      </c>
      <c r="E19" s="129"/>
      <c r="F19" s="133" t="s">
        <v>154</v>
      </c>
      <c r="G19" s="129"/>
      <c r="H19" s="138" t="str">
        <f>IFERROR(VLOOKUP(D7,'Liste gobale'!A:H,8,FALSE),"")</f>
        <v/>
      </c>
      <c r="I19"/>
      <c r="J19"/>
      <c r="K19" s="154"/>
      <c r="P19" s="140" t="str">
        <f>IFERROR(VLOOKUP(P7,'Liste gobale'!M:Y,6,FALSE),"")</f>
        <v/>
      </c>
      <c r="R19" s="138" t="str">
        <f>IFERROR(VLOOKUP(N7,'Liste gobale'!K:S,8,FALSE),"")</f>
        <v/>
      </c>
    </row>
    <row r="20" spans="1:18" ht="22.9" customHeight="1" x14ac:dyDescent="0.5">
      <c r="A20"/>
      <c r="B20" s="133" t="s">
        <v>34</v>
      </c>
      <c r="C20" s="129"/>
      <c r="D20" s="140" t="str">
        <f>IFERROR(VLOOKUP(D7,'Liste gobale'!A:L,7,FALSE),"")</f>
        <v/>
      </c>
      <c r="E20" s="129"/>
      <c r="F20" s="129"/>
      <c r="G20" s="129"/>
      <c r="H20" s="129"/>
      <c r="I20"/>
      <c r="J20"/>
      <c r="K20"/>
      <c r="P20" s="140" t="str">
        <f>IFERROR(VLOOKUP(P7,'Liste gobale'!M:Y,7,FALSE),"")</f>
        <v/>
      </c>
    </row>
    <row r="21" spans="1:18" ht="9" customHeight="1" x14ac:dyDescent="0.5">
      <c r="A21"/>
      <c r="B21" s="133"/>
      <c r="C21" s="129"/>
      <c r="D21" s="129"/>
      <c r="E21" s="129"/>
      <c r="F21" s="130"/>
      <c r="G21" s="130"/>
      <c r="H21" s="130"/>
      <c r="I21"/>
      <c r="J21"/>
      <c r="K21"/>
      <c r="P21" s="129"/>
    </row>
    <row r="22" spans="1:18" ht="22.9" customHeight="1" x14ac:dyDescent="0.5">
      <c r="A22"/>
      <c r="B22" s="133" t="s">
        <v>36</v>
      </c>
      <c r="C22" s="129"/>
      <c r="D22" s="138" t="str">
        <f>IFERROR(VLOOKUP(D7,'Liste gobale'!A:L,9,FALSE),"ND")</f>
        <v>ND</v>
      </c>
      <c r="E22" s="129"/>
      <c r="F22" s="129"/>
      <c r="G22" s="129"/>
      <c r="H22" s="129"/>
      <c r="I22"/>
      <c r="J22"/>
      <c r="K22"/>
      <c r="P22" s="138" t="str">
        <f>IFERROR(VLOOKUP(P7,'Liste gobale'!M:Y,9,FALSE),"ND")</f>
        <v>ND</v>
      </c>
    </row>
    <row r="23" spans="1:18" ht="24" customHeight="1" x14ac:dyDescent="0.45">
      <c r="A23"/>
      <c r="B23" s="128"/>
      <c r="C23" s="128"/>
      <c r="D23" s="128"/>
      <c r="E23" s="128"/>
      <c r="F23"/>
      <c r="G23" s="128"/>
      <c r="H23" s="128"/>
      <c r="I23"/>
      <c r="J23"/>
      <c r="K23"/>
    </row>
    <row r="24" spans="1:18" ht="21.65" customHeight="1" x14ac:dyDescent="0.45">
      <c r="A24"/>
      <c r="B24"/>
      <c r="C24"/>
      <c r="D24"/>
      <c r="E24" s="128"/>
      <c r="F24" s="128"/>
      <c r="G24" s="128"/>
      <c r="H24" s="128"/>
      <c r="I24"/>
      <c r="J24"/>
      <c r="K24"/>
    </row>
    <row r="25" spans="1:18" ht="2.5" customHeight="1" x14ac:dyDescent="0.35">
      <c r="A25"/>
      <c r="B25"/>
      <c r="C25"/>
      <c r="D25"/>
      <c r="E25"/>
      <c r="F25"/>
      <c r="G25"/>
      <c r="H25"/>
      <c r="I25"/>
      <c r="J25"/>
      <c r="K25"/>
    </row>
    <row r="26" spans="1:18" x14ac:dyDescent="0.35">
      <c r="A26"/>
      <c r="B26"/>
      <c r="C26"/>
      <c r="D26"/>
      <c r="E26"/>
      <c r="F26"/>
      <c r="G26"/>
      <c r="H26"/>
      <c r="I26"/>
      <c r="J26"/>
      <c r="K26"/>
    </row>
    <row r="27" spans="1:18" x14ac:dyDescent="0.35">
      <c r="A27"/>
      <c r="B27"/>
      <c r="C27"/>
      <c r="D27"/>
      <c r="E27"/>
      <c r="F27"/>
      <c r="G27"/>
      <c r="H27"/>
      <c r="I27"/>
      <c r="J27"/>
      <c r="K27"/>
    </row>
    <row r="28" spans="1:18" x14ac:dyDescent="0.35">
      <c r="A28"/>
      <c r="B28"/>
      <c r="C28"/>
      <c r="D28"/>
      <c r="E28"/>
      <c r="F28"/>
      <c r="G28"/>
      <c r="H28"/>
      <c r="I28"/>
      <c r="J28"/>
      <c r="K28"/>
    </row>
    <row r="29" spans="1:18" x14ac:dyDescent="0.35">
      <c r="A29"/>
      <c r="B29"/>
      <c r="C29"/>
      <c r="D29"/>
      <c r="E29"/>
      <c r="F29"/>
      <c r="G29"/>
      <c r="H29"/>
      <c r="I29"/>
      <c r="J29"/>
      <c r="K29"/>
    </row>
    <row r="30" spans="1:18" x14ac:dyDescent="0.35">
      <c r="A30"/>
      <c r="B30"/>
      <c r="C30"/>
      <c r="D30"/>
      <c r="E30"/>
      <c r="F30"/>
      <c r="G30"/>
      <c r="H30"/>
      <c r="I30"/>
      <c r="J30"/>
      <c r="K30"/>
    </row>
    <row r="31" spans="1:18" x14ac:dyDescent="0.35">
      <c r="A31"/>
      <c r="B31"/>
      <c r="C31"/>
      <c r="D31"/>
      <c r="E31"/>
      <c r="F31"/>
      <c r="G31"/>
      <c r="H31"/>
      <c r="I31"/>
      <c r="J31"/>
      <c r="K31"/>
    </row>
    <row r="32" spans="1:18" x14ac:dyDescent="0.35">
      <c r="A32"/>
      <c r="B32"/>
      <c r="C32"/>
      <c r="D32"/>
      <c r="E32"/>
      <c r="F32"/>
      <c r="G32"/>
      <c r="H32"/>
      <c r="I32"/>
      <c r="J32"/>
      <c r="K32"/>
    </row>
    <row r="33" spans="1:11" x14ac:dyDescent="0.35">
      <c r="A33"/>
      <c r="B33"/>
      <c r="C33"/>
      <c r="D33"/>
      <c r="E33"/>
      <c r="F33"/>
      <c r="G33"/>
      <c r="H33"/>
      <c r="I33"/>
      <c r="J33"/>
      <c r="K33"/>
    </row>
    <row r="34" spans="1:11" x14ac:dyDescent="0.35">
      <c r="A34"/>
      <c r="B34"/>
      <c r="C34"/>
      <c r="D34"/>
      <c r="E34"/>
      <c r="F34"/>
      <c r="G34"/>
      <c r="H34"/>
      <c r="I34"/>
      <c r="J34"/>
      <c r="K34"/>
    </row>
    <row r="35" spans="1:11" x14ac:dyDescent="0.35">
      <c r="A35"/>
      <c r="B35"/>
      <c r="C35"/>
      <c r="D35"/>
      <c r="E35"/>
      <c r="F35"/>
      <c r="G35"/>
      <c r="H35"/>
      <c r="I35"/>
      <c r="J35"/>
      <c r="K35"/>
    </row>
    <row r="36" spans="1:11" x14ac:dyDescent="0.35">
      <c r="A36"/>
      <c r="B36"/>
      <c r="C36"/>
      <c r="D36"/>
      <c r="E36"/>
      <c r="F36"/>
      <c r="G36"/>
      <c r="H36"/>
      <c r="I36"/>
      <c r="J36"/>
      <c r="K36"/>
    </row>
    <row r="37" spans="1:11" x14ac:dyDescent="0.35">
      <c r="A37"/>
      <c r="B37"/>
      <c r="C37"/>
      <c r="D37"/>
      <c r="E37"/>
      <c r="F37"/>
      <c r="G37"/>
      <c r="H37"/>
      <c r="I37"/>
      <c r="J37"/>
      <c r="K37"/>
    </row>
    <row r="38" spans="1:11" x14ac:dyDescent="0.35">
      <c r="A38"/>
      <c r="B38"/>
      <c r="C38"/>
      <c r="D38"/>
      <c r="E38"/>
      <c r="F38"/>
      <c r="G38"/>
      <c r="H38"/>
      <c r="I38"/>
      <c r="J38"/>
      <c r="K38"/>
    </row>
    <row r="39" spans="1:11" x14ac:dyDescent="0.35">
      <c r="A39"/>
      <c r="B39"/>
      <c r="C39"/>
      <c r="D39"/>
      <c r="E39"/>
      <c r="F39"/>
      <c r="G39"/>
      <c r="H39"/>
      <c r="I39"/>
      <c r="J39"/>
      <c r="K39"/>
    </row>
    <row r="40" spans="1:11" x14ac:dyDescent="0.35">
      <c r="A40"/>
      <c r="B40"/>
      <c r="C40"/>
      <c r="D40"/>
      <c r="E40"/>
      <c r="F40"/>
      <c r="G40"/>
      <c r="H40"/>
      <c r="I40"/>
      <c r="J40"/>
      <c r="K40"/>
    </row>
    <row r="41" spans="1:11" x14ac:dyDescent="0.35">
      <c r="A41"/>
      <c r="B41"/>
      <c r="C41"/>
      <c r="D41"/>
      <c r="E41"/>
      <c r="F41"/>
      <c r="G41"/>
      <c r="H41"/>
      <c r="I41"/>
      <c r="J41"/>
      <c r="K41"/>
    </row>
    <row r="42" spans="1:11" x14ac:dyDescent="0.35">
      <c r="A42"/>
      <c r="B42"/>
      <c r="C42"/>
      <c r="D42"/>
      <c r="E42"/>
      <c r="F42"/>
      <c r="G42"/>
      <c r="H42"/>
      <c r="I42"/>
      <c r="J42"/>
      <c r="K42"/>
    </row>
    <row r="43" spans="1:11" x14ac:dyDescent="0.35">
      <c r="A43"/>
      <c r="B43"/>
      <c r="C43"/>
      <c r="D43"/>
      <c r="E43"/>
      <c r="F43"/>
      <c r="G43"/>
      <c r="H43"/>
      <c r="I43"/>
      <c r="J43"/>
      <c r="K43"/>
    </row>
    <row r="44" spans="1:11" x14ac:dyDescent="0.35">
      <c r="A44"/>
      <c r="B44"/>
      <c r="C44"/>
      <c r="D44"/>
      <c r="E44"/>
      <c r="F44"/>
      <c r="G44"/>
      <c r="H44"/>
      <c r="I44"/>
      <c r="J44"/>
      <c r="K44"/>
    </row>
    <row r="45" spans="1:11" x14ac:dyDescent="0.35">
      <c r="A45"/>
      <c r="B45"/>
      <c r="C45"/>
      <c r="D45"/>
      <c r="E45"/>
      <c r="F45"/>
      <c r="G45"/>
      <c r="H45"/>
      <c r="I45"/>
      <c r="J45"/>
      <c r="K45"/>
    </row>
    <row r="46" spans="1:11" x14ac:dyDescent="0.35">
      <c r="A46"/>
      <c r="B46"/>
      <c r="C46"/>
      <c r="D46"/>
      <c r="E46"/>
      <c r="F46"/>
      <c r="G46"/>
      <c r="H46"/>
      <c r="I46"/>
      <c r="J46"/>
      <c r="K46"/>
    </row>
    <row r="47" spans="1:11" x14ac:dyDescent="0.35">
      <c r="A47"/>
      <c r="B47"/>
      <c r="C47"/>
      <c r="D47"/>
      <c r="E47"/>
      <c r="F47"/>
      <c r="G47"/>
      <c r="H47"/>
      <c r="I47"/>
      <c r="J47"/>
      <c r="K47"/>
    </row>
    <row r="48" spans="1:11" x14ac:dyDescent="0.35">
      <c r="A48"/>
      <c r="B48"/>
      <c r="C48"/>
      <c r="D48"/>
      <c r="E48"/>
      <c r="F48"/>
      <c r="G48"/>
      <c r="H48"/>
      <c r="I48"/>
      <c r="J48"/>
      <c r="K48"/>
    </row>
    <row r="49" spans="1:11" x14ac:dyDescent="0.35">
      <c r="A49"/>
      <c r="B49"/>
      <c r="C49"/>
      <c r="D49"/>
      <c r="E49"/>
      <c r="F49"/>
      <c r="G49"/>
      <c r="H49"/>
      <c r="I49"/>
      <c r="J49"/>
      <c r="K49"/>
    </row>
    <row r="50" spans="1:11" x14ac:dyDescent="0.35">
      <c r="A50"/>
      <c r="B50"/>
      <c r="C50"/>
      <c r="D50"/>
      <c r="E50"/>
      <c r="F50"/>
      <c r="G50"/>
      <c r="H50"/>
      <c r="I50"/>
      <c r="J50"/>
      <c r="K50"/>
    </row>
    <row r="51" spans="1:11" x14ac:dyDescent="0.35">
      <c r="A51"/>
      <c r="B51"/>
      <c r="C51"/>
      <c r="D51"/>
      <c r="E51"/>
      <c r="F51"/>
      <c r="G51"/>
      <c r="H51"/>
      <c r="I51"/>
      <c r="J51"/>
      <c r="K51"/>
    </row>
    <row r="52" spans="1:11" x14ac:dyDescent="0.35">
      <c r="A52"/>
      <c r="B52"/>
      <c r="C52"/>
      <c r="D52"/>
      <c r="E52"/>
      <c r="F52"/>
      <c r="G52"/>
      <c r="H52"/>
      <c r="I52"/>
      <c r="J52"/>
      <c r="K52"/>
    </row>
    <row r="53" spans="1:11" x14ac:dyDescent="0.35">
      <c r="A53"/>
      <c r="B53"/>
      <c r="C53"/>
      <c r="D53"/>
      <c r="E53"/>
      <c r="F53"/>
      <c r="G53"/>
      <c r="H53"/>
      <c r="I53"/>
      <c r="J53"/>
      <c r="K53"/>
    </row>
    <row r="54" spans="1:11" x14ac:dyDescent="0.35">
      <c r="A54"/>
      <c r="B54"/>
      <c r="C54"/>
      <c r="D54"/>
      <c r="E54"/>
      <c r="F54"/>
      <c r="G54"/>
      <c r="H54"/>
      <c r="I54"/>
      <c r="J54"/>
      <c r="K54"/>
    </row>
    <row r="55" spans="1:11" x14ac:dyDescent="0.35">
      <c r="A55"/>
      <c r="B55"/>
      <c r="C55"/>
      <c r="D55"/>
      <c r="E55"/>
      <c r="F55"/>
      <c r="G55"/>
      <c r="H55"/>
      <c r="I55"/>
      <c r="J55"/>
      <c r="K55"/>
    </row>
    <row r="56" spans="1:11" x14ac:dyDescent="0.35">
      <c r="A56"/>
      <c r="B56"/>
      <c r="C56"/>
      <c r="D56"/>
      <c r="E56"/>
      <c r="F56"/>
      <c r="G56"/>
      <c r="H56"/>
      <c r="I56"/>
      <c r="J56"/>
      <c r="K56"/>
    </row>
    <row r="57" spans="1:11" x14ac:dyDescent="0.35">
      <c r="A57"/>
      <c r="B57"/>
      <c r="C57"/>
      <c r="D57"/>
      <c r="E57"/>
      <c r="F57"/>
      <c r="G57"/>
      <c r="H57"/>
      <c r="I57"/>
      <c r="J57"/>
      <c r="K57"/>
    </row>
    <row r="58" spans="1:11" x14ac:dyDescent="0.35">
      <c r="A58"/>
      <c r="B58"/>
      <c r="C58"/>
      <c r="D58"/>
      <c r="E58"/>
      <c r="F58"/>
      <c r="G58"/>
      <c r="H58"/>
      <c r="I58"/>
      <c r="J58"/>
      <c r="K58"/>
    </row>
    <row r="59" spans="1:11" x14ac:dyDescent="0.35">
      <c r="A59"/>
      <c r="B59"/>
      <c r="C59"/>
      <c r="D59"/>
      <c r="E59"/>
      <c r="F59"/>
      <c r="G59"/>
      <c r="H59"/>
      <c r="I59"/>
      <c r="J59"/>
      <c r="K59"/>
    </row>
    <row r="60" spans="1:11" x14ac:dyDescent="0.35">
      <c r="A60"/>
      <c r="B60"/>
      <c r="C60"/>
      <c r="D60"/>
      <c r="E60"/>
      <c r="F60"/>
      <c r="G60"/>
      <c r="H60"/>
      <c r="I60"/>
      <c r="J60"/>
      <c r="K60"/>
    </row>
    <row r="61" spans="1:11" x14ac:dyDescent="0.35">
      <c r="A61"/>
      <c r="B61"/>
      <c r="C61"/>
      <c r="D61"/>
      <c r="E61"/>
      <c r="F61"/>
      <c r="G61"/>
      <c r="H61"/>
      <c r="I61"/>
      <c r="J61"/>
      <c r="K61"/>
    </row>
    <row r="62" spans="1:11" x14ac:dyDescent="0.35">
      <c r="A62"/>
      <c r="B62"/>
      <c r="C62"/>
      <c r="D62"/>
      <c r="E62"/>
      <c r="F62"/>
      <c r="G62"/>
      <c r="H62"/>
      <c r="I62"/>
      <c r="J62"/>
      <c r="K62"/>
    </row>
    <row r="63" spans="1:11" x14ac:dyDescent="0.35">
      <c r="A63"/>
      <c r="B63"/>
      <c r="C63"/>
      <c r="D63"/>
      <c r="E63"/>
      <c r="F63"/>
      <c r="G63"/>
      <c r="H63"/>
      <c r="I63"/>
      <c r="J63"/>
      <c r="K63"/>
    </row>
    <row r="64" spans="1:11" x14ac:dyDescent="0.35">
      <c r="A64"/>
      <c r="B64"/>
      <c r="C64"/>
      <c r="D64"/>
      <c r="E64"/>
      <c r="F64"/>
      <c r="G64"/>
      <c r="H64"/>
      <c r="I64"/>
      <c r="J64"/>
      <c r="K64"/>
    </row>
    <row r="65" spans="1:11" x14ac:dyDescent="0.35">
      <c r="A65"/>
      <c r="B65"/>
      <c r="C65"/>
      <c r="D65"/>
      <c r="E65"/>
      <c r="F65"/>
      <c r="G65"/>
      <c r="H65"/>
      <c r="I65"/>
      <c r="J65"/>
      <c r="K65"/>
    </row>
  </sheetData>
  <sheetProtection selectLockedCells="1"/>
  <dataValidations count="2">
    <dataValidation type="date" allowBlank="1" showInputMessage="1" showErrorMessage="1" sqref="D1" xr:uid="{4B84C76E-BE7E-4251-A76C-A73EE9A38B8A}">
      <formula1>1</formula1>
      <formula2>45291</formula2>
    </dataValidation>
    <dataValidation type="date" operator="lessThan" allowBlank="1" showInputMessage="1" showErrorMessage="1" sqref="P13 D13" xr:uid="{0EBB01E1-A344-4EF6-A19A-FA15099C6BEF}">
      <formula1>45291</formula1>
    </dataValidation>
  </dataValidations>
  <pageMargins left="0.70866141732283472" right="0.70866141732283472" top="0.74803149606299213" bottom="0.74803149606299213" header="0.31496062992125984" footer="0.31496062992125984"/>
  <pageSetup paperSize="9" scale="6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9">
              <controlPr defaultSize="0" print="0" autoFill="0" autoPict="0" macro="[0]!Modif_adhérent">
                <anchor moveWithCells="1" sizeWithCells="1">
                  <from>
                    <xdr:col>9</xdr:col>
                    <xdr:colOff>0</xdr:colOff>
                    <xdr:row>6</xdr:row>
                    <xdr:rowOff>260350</xdr:rowOff>
                  </from>
                  <to>
                    <xdr:col>10</xdr:col>
                    <xdr:colOff>1809750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A44C5D5-0270-461B-9B1E-AAFF64A5BB9D}">
          <x14:formula1>
            <xm:f>OFFSET('Liste validation'!$C$2,0,0,COUNTA('Liste validation'!$C:$C)-1)</xm:f>
          </x14:formula1>
          <xm:sqref>P22 D22</xm:sqref>
        </x14:dataValidation>
        <x14:dataValidation type="list" allowBlank="1" showInputMessage="1" showErrorMessage="1" xr:uid="{925B692E-7635-4C30-8EBC-715FEF4029E4}">
          <x14:formula1>
            <xm:f>OFFSET('Liste validation'!$G$2,0,0,COUNTA('Liste validation'!$G:$G)-1)</xm:f>
          </x14:formula1>
          <xm:sqref>R11 H11</xm:sqref>
        </x14:dataValidation>
        <x14:dataValidation type="list" allowBlank="1" showInputMessage="1" showErrorMessage="1" xr:uid="{46DCAEE4-92DD-4CAD-AADC-9842DB448540}">
          <x14:formula1>
            <xm:f>'Liste validation'!$I$2:$I$3</xm:f>
          </x14:formula1>
          <xm:sqref>P17 D17</xm:sqref>
        </x14:dataValidation>
        <x14:dataValidation type="list" allowBlank="1" showInputMessage="1" showErrorMessage="1" xr:uid="{07C3E020-4F7E-46A7-83FF-374124E61C17}">
          <x14:formula1>
            <xm:f>'Liste validation'!$A$2:$A$3</xm:f>
          </x14:formula1>
          <xm:sqref>P15 D15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B7814-BAEF-493D-A0D6-F4EA01F2E3F9}">
  <sheetPr codeName="Feuil14">
    <pageSetUpPr fitToPage="1"/>
  </sheetPr>
  <dimension ref="A1:P33"/>
  <sheetViews>
    <sheetView showGridLines="0" zoomScaleNormal="100" workbookViewId="0">
      <pane ySplit="32" topLeftCell="A33" activePane="bottomLeft" state="frozen"/>
      <selection activeCell="A3" sqref="A3"/>
      <selection pane="bottomLeft" activeCell="F8" sqref="F8"/>
    </sheetView>
  </sheetViews>
  <sheetFormatPr baseColWidth="10" defaultColWidth="11.54296875" defaultRowHeight="14.5" x14ac:dyDescent="0.35"/>
  <cols>
    <col min="1" max="1" width="3.54296875" style="142" customWidth="1"/>
    <col min="2" max="2" width="32.7265625" style="142" customWidth="1"/>
    <col min="3" max="3" width="7.7265625" style="142" customWidth="1"/>
    <col min="4" max="4" width="41.26953125" style="142" customWidth="1"/>
    <col min="5" max="5" width="3.54296875" style="142" customWidth="1"/>
    <col min="6" max="6" width="25.54296875" style="142" customWidth="1"/>
    <col min="7" max="7" width="1.453125" style="142" customWidth="1"/>
    <col min="8" max="8" width="33.1796875" style="142" customWidth="1"/>
    <col min="9" max="9" width="7.1796875" style="142" customWidth="1"/>
    <col min="10" max="10" width="4.1796875" style="142" customWidth="1"/>
    <col min="11" max="11" width="7.7265625" style="142" customWidth="1"/>
    <col min="12" max="12" width="27.26953125" style="142" customWidth="1"/>
    <col min="13" max="13" width="12.1796875" style="142" customWidth="1"/>
    <col min="14" max="14" width="7.81640625" style="142" customWidth="1"/>
    <col min="15" max="15" width="1.1796875" style="142" customWidth="1"/>
    <col min="16" max="16" width="8" style="142" customWidth="1"/>
    <col min="17" max="17" width="0.81640625" style="142" customWidth="1"/>
    <col min="18" max="16384" width="11.54296875" style="142"/>
  </cols>
  <sheetData>
    <row r="1" spans="1:16" ht="12" hidden="1" customHeight="1" x14ac:dyDescent="0.35">
      <c r="A1" s="295" t="s">
        <v>74</v>
      </c>
      <c r="B1" s="286" t="s">
        <v>182</v>
      </c>
      <c r="C1" s="296" t="s">
        <v>166</v>
      </c>
      <c r="D1" s="286" t="s">
        <v>183</v>
      </c>
      <c r="E1" s="286" t="s">
        <v>30</v>
      </c>
      <c r="F1" s="286" t="s">
        <v>37</v>
      </c>
      <c r="G1" s="286" t="s">
        <v>38</v>
      </c>
      <c r="H1" s="297" t="s">
        <v>184</v>
      </c>
      <c r="I1" s="286" t="s">
        <v>185</v>
      </c>
      <c r="J1" s="286" t="s">
        <v>186</v>
      </c>
      <c r="K1" s="297" t="s">
        <v>187</v>
      </c>
      <c r="L1" s="296" t="s">
        <v>188</v>
      </c>
      <c r="M1"/>
      <c r="N1" s="309"/>
      <c r="O1" s="309"/>
    </row>
    <row r="2" spans="1:16" ht="12" hidden="1" customHeight="1" x14ac:dyDescent="0.35">
      <c r="A2" s="300">
        <f>1+ROUNDDOWN(B2/50,0)</f>
        <v>1</v>
      </c>
      <c r="B2" s="301">
        <f>B9</f>
        <v>1</v>
      </c>
      <c r="C2" s="302">
        <f>D9</f>
        <v>0</v>
      </c>
      <c r="D2" s="303" t="str">
        <f>IF(Prénom="",IF(D24="","",D24),Prénom)</f>
        <v/>
      </c>
      <c r="E2" s="304" t="str">
        <f>IF(H13="","",H13)</f>
        <v/>
      </c>
      <c r="F2" s="305">
        <f>IF(Naissance="",D28,Naissance)</f>
        <v>0</v>
      </c>
      <c r="G2" s="305">
        <f>IF(Nom="",D26,Nom)</f>
        <v>0</v>
      </c>
      <c r="H2" s="306">
        <f>H9</f>
        <v>0</v>
      </c>
      <c r="I2" s="305">
        <f>IF(Sex="",D30,Sex)</f>
        <v>0</v>
      </c>
      <c r="J2" s="305">
        <f>IF(Groupe="",H26,Groupe)</f>
        <v>0</v>
      </c>
      <c r="K2" s="306">
        <f>IF(Entraineur="",H28,Entraineur)</f>
        <v>0</v>
      </c>
      <c r="L2" s="302">
        <f>IF(Cotisation="",H30,Cotisation)</f>
        <v>0</v>
      </c>
      <c r="M2" s="169"/>
      <c r="N2" s="311"/>
      <c r="O2" s="312" t="e">
        <f>#REF!</f>
        <v>#REF!</v>
      </c>
    </row>
    <row r="3" spans="1:16" ht="10.5" customHeight="1" x14ac:dyDescent="0.35">
      <c r="A3"/>
      <c r="B3"/>
      <c r="C3"/>
      <c r="D3"/>
      <c r="E3"/>
      <c r="F3"/>
      <c r="G3"/>
      <c r="H3"/>
      <c r="I3"/>
      <c r="J3"/>
      <c r="K3"/>
      <c r="L3"/>
      <c r="M3"/>
      <c r="N3" s="308"/>
      <c r="O3" s="308"/>
      <c r="P3" s="309"/>
    </row>
    <row r="4" spans="1:16" ht="4.1500000000000004" customHeight="1" x14ac:dyDescent="0.35">
      <c r="A4"/>
      <c r="B4"/>
      <c r="C4"/>
      <c r="D4"/>
      <c r="E4"/>
      <c r="F4"/>
      <c r="G4"/>
      <c r="H4"/>
      <c r="I4"/>
      <c r="J4"/>
      <c r="K4"/>
      <c r="L4"/>
      <c r="M4"/>
      <c r="N4" s="308"/>
      <c r="O4" s="308"/>
      <c r="P4" s="309"/>
    </row>
    <row r="5" spans="1:16" ht="31" x14ac:dyDescent="0.7">
      <c r="A5"/>
      <c r="B5" s="131" t="s">
        <v>209</v>
      </c>
      <c r="C5" s="132"/>
      <c r="D5" s="132"/>
      <c r="E5" s="132"/>
      <c r="F5" s="132"/>
      <c r="G5" s="132"/>
      <c r="H5" s="132"/>
      <c r="I5"/>
      <c r="J5"/>
      <c r="K5"/>
      <c r="L5"/>
      <c r="M5"/>
      <c r="N5" s="308"/>
      <c r="O5" s="310" t="e">
        <f>IF(AND(Prénom&lt;&gt;"",Nom&lt;&gt;"",Naissance&lt;&gt;"",Sex&lt;&gt;"",Tel_1&lt;&gt;"",Tipo&lt;&gt;"",Groupe&lt;&gt;"",Entraineur&lt;&gt;"",Cotisation&lt;&gt;""),1,0)</f>
        <v>#REF!</v>
      </c>
      <c r="P5" s="309"/>
    </row>
    <row r="6" spans="1:16" ht="6" customHeight="1" x14ac:dyDescent="0.35">
      <c r="A6"/>
      <c r="B6"/>
      <c r="C6"/>
      <c r="D6"/>
      <c r="E6"/>
      <c r="F6"/>
      <c r="G6"/>
      <c r="H6"/>
      <c r="I6"/>
      <c r="J6"/>
      <c r="K6"/>
      <c r="L6"/>
      <c r="M6"/>
      <c r="N6" s="308"/>
      <c r="O6" s="308"/>
      <c r="P6" s="309"/>
    </row>
    <row r="7" spans="1:16" ht="18.75" customHeight="1" x14ac:dyDescent="0.5">
      <c r="A7"/>
      <c r="B7" s="285" t="s">
        <v>207</v>
      </c>
      <c r="C7"/>
      <c r="D7" s="285" t="s">
        <v>166</v>
      </c>
      <c r="E7"/>
      <c r="F7"/>
      <c r="G7"/>
      <c r="H7" s="285" t="s">
        <v>184</v>
      </c>
      <c r="I7"/>
      <c r="J7"/>
      <c r="K7"/>
      <c r="L7"/>
      <c r="M7"/>
      <c r="N7" s="309"/>
      <c r="O7" s="309"/>
      <c r="P7" s="309"/>
    </row>
    <row r="8" spans="1:16" ht="6.75" customHeight="1" x14ac:dyDescent="0.35">
      <c r="A8"/>
      <c r="B8"/>
      <c r="C8"/>
      <c r="D8"/>
      <c r="E8"/>
      <c r="F8"/>
      <c r="G8"/>
      <c r="H8"/>
      <c r="I8"/>
      <c r="J8"/>
      <c r="K8"/>
      <c r="L8"/>
      <c r="M8"/>
      <c r="N8" s="309"/>
      <c r="O8" s="309"/>
      <c r="P8" s="309"/>
    </row>
    <row r="9" spans="1:16" ht="22.9" customHeight="1" x14ac:dyDescent="0.45">
      <c r="A9"/>
      <c r="B9" s="307">
        <f>MAX('Liste carnet encaiss'!B:B)+1</f>
        <v>1</v>
      </c>
      <c r="C9"/>
      <c r="D9" s="137"/>
      <c r="E9"/>
      <c r="F9"/>
      <c r="G9" s="129"/>
      <c r="H9" s="141"/>
      <c r="I9"/>
      <c r="J9"/>
      <c r="K9"/>
      <c r="L9"/>
      <c r="M9"/>
      <c r="N9" s="309"/>
      <c r="O9" s="309"/>
      <c r="P9" s="309"/>
    </row>
    <row r="10" spans="1:16" ht="3.75" customHeight="1" x14ac:dyDescent="0.5">
      <c r="A10"/>
      <c r="B10" s="133"/>
      <c r="C10" s="129"/>
      <c r="D10" s="129"/>
      <c r="E10" s="129"/>
      <c r="F10" s="285"/>
      <c r="G10" s="129"/>
      <c r="H10" s="129"/>
      <c r="I10"/>
      <c r="J10"/>
      <c r="K10"/>
      <c r="L10"/>
      <c r="M10"/>
      <c r="N10" s="309"/>
      <c r="O10" s="309"/>
      <c r="P10" s="309"/>
    </row>
    <row r="11" spans="1:16" ht="25.5" customHeight="1" x14ac:dyDescent="0.45">
      <c r="A11" s="274"/>
      <c r="B11" s="287" t="s">
        <v>210</v>
      </c>
      <c r="C11" s="288"/>
      <c r="D11" s="288"/>
      <c r="E11" s="288"/>
      <c r="F11" s="288"/>
      <c r="G11" s="288"/>
      <c r="H11" s="288"/>
      <c r="I11" s="274"/>
      <c r="J11"/>
      <c r="K11"/>
      <c r="L11"/>
      <c r="M11"/>
      <c r="N11" s="309"/>
      <c r="O11" s="309"/>
      <c r="P11" s="309"/>
    </row>
    <row r="12" spans="1:16" ht="9" customHeight="1" x14ac:dyDescent="0.35">
      <c r="A12" s="274"/>
      <c r="B12" s="274"/>
      <c r="C12" s="274"/>
      <c r="D12" s="274"/>
      <c r="E12" s="274"/>
      <c r="F12" s="274"/>
      <c r="G12" s="274"/>
      <c r="H12" s="274"/>
      <c r="I12" s="274"/>
      <c r="J12"/>
      <c r="K12"/>
      <c r="L12"/>
      <c r="M12"/>
      <c r="N12" s="309"/>
      <c r="O12" s="309"/>
      <c r="P12" s="309"/>
    </row>
    <row r="13" spans="1:16" ht="22.9" customHeight="1" x14ac:dyDescent="0.45">
      <c r="A13" s="274"/>
      <c r="B13" s="289" t="s">
        <v>183</v>
      </c>
      <c r="C13" s="290"/>
      <c r="D13" s="298"/>
      <c r="E13" s="290"/>
      <c r="F13" s="289" t="s">
        <v>30</v>
      </c>
      <c r="G13" s="290"/>
      <c r="H13" s="371"/>
      <c r="I13" s="274"/>
      <c r="J13"/>
      <c r="K13"/>
      <c r="L13"/>
      <c r="M13"/>
      <c r="N13" s="309"/>
      <c r="O13" s="309"/>
      <c r="P13" s="309"/>
    </row>
    <row r="14" spans="1:16" ht="9" customHeight="1" x14ac:dyDescent="0.5">
      <c r="A14" s="274"/>
      <c r="B14" s="289"/>
      <c r="C14" s="290"/>
      <c r="D14" s="290"/>
      <c r="E14" s="290"/>
      <c r="F14" s="291"/>
      <c r="G14" s="274"/>
      <c r="H14" s="274"/>
      <c r="I14" s="274"/>
      <c r="J14"/>
      <c r="K14"/>
      <c r="L14"/>
      <c r="M14"/>
      <c r="N14" s="309"/>
      <c r="O14" s="309"/>
      <c r="P14" s="309"/>
    </row>
    <row r="15" spans="1:16" ht="22.9" customHeight="1" x14ac:dyDescent="0.45">
      <c r="A15" s="274"/>
      <c r="B15" s="289" t="s">
        <v>178</v>
      </c>
      <c r="C15" s="290"/>
      <c r="D15" s="313" t="str">
        <f>IFERROR(VLOOKUP(H13,'Liste gobale'!A:C,3,FALSE),"")</f>
        <v/>
      </c>
      <c r="E15" s="290"/>
      <c r="F15" s="289" t="s">
        <v>186</v>
      </c>
      <c r="G15" s="290"/>
      <c r="H15" s="314"/>
      <c r="I15" s="274"/>
      <c r="J15"/>
      <c r="K15"/>
      <c r="L15"/>
      <c r="M15"/>
      <c r="N15" s="309"/>
      <c r="O15" s="309"/>
      <c r="P15" s="309"/>
    </row>
    <row r="16" spans="1:16" ht="9" customHeight="1" x14ac:dyDescent="0.5">
      <c r="A16" s="274"/>
      <c r="B16" s="292"/>
      <c r="C16" s="291"/>
      <c r="D16" s="291"/>
      <c r="E16" s="291"/>
      <c r="F16" s="289"/>
      <c r="G16" s="290"/>
      <c r="H16" s="290"/>
      <c r="I16" s="274"/>
      <c r="J16"/>
      <c r="K16"/>
      <c r="L16"/>
      <c r="M16"/>
      <c r="N16" s="309"/>
      <c r="O16" s="309"/>
      <c r="P16" s="309"/>
    </row>
    <row r="17" spans="1:16" ht="22.9" customHeight="1" x14ac:dyDescent="0.45">
      <c r="A17" s="274"/>
      <c r="B17" s="289" t="s">
        <v>179</v>
      </c>
      <c r="C17" s="290"/>
      <c r="D17" s="313" t="str">
        <f>IFERROR(VLOOKUP(H13,'Liste gobale'!A:C,2,FALSE),"")</f>
        <v/>
      </c>
      <c r="E17" s="290"/>
      <c r="F17" s="289" t="s">
        <v>187</v>
      </c>
      <c r="G17" s="290"/>
      <c r="H17" s="314"/>
      <c r="I17" s="274"/>
      <c r="J17"/>
      <c r="K17"/>
      <c r="L17" s="154"/>
      <c r="M17"/>
      <c r="N17" s="309"/>
      <c r="O17" s="309"/>
      <c r="P17" s="309"/>
    </row>
    <row r="18" spans="1:16" ht="9" customHeight="1" x14ac:dyDescent="0.5">
      <c r="A18" s="274"/>
      <c r="B18" s="289"/>
      <c r="C18" s="290"/>
      <c r="D18" s="290"/>
      <c r="E18" s="290"/>
      <c r="F18" s="292"/>
      <c r="G18" s="291"/>
      <c r="H18" s="291"/>
      <c r="I18" s="274"/>
      <c r="J18"/>
      <c r="K18"/>
      <c r="L18"/>
      <c r="M18"/>
      <c r="N18" s="309"/>
      <c r="O18" s="309"/>
      <c r="P18" s="309"/>
    </row>
    <row r="19" spans="1:16" ht="22.9" customHeight="1" x14ac:dyDescent="0.45">
      <c r="A19" s="274"/>
      <c r="B19" s="289" t="s">
        <v>205</v>
      </c>
      <c r="C19" s="290"/>
      <c r="D19" s="299"/>
      <c r="E19" s="290"/>
      <c r="F19" s="289" t="s">
        <v>206</v>
      </c>
      <c r="G19" s="290"/>
      <c r="H19" s="299"/>
      <c r="I19" s="274"/>
      <c r="J19"/>
      <c r="K19"/>
      <c r="L19"/>
      <c r="M19"/>
      <c r="N19" s="309"/>
      <c r="O19" s="309"/>
      <c r="P19" s="309"/>
    </row>
    <row r="20" spans="1:16" ht="9" customHeight="1" x14ac:dyDescent="0.45">
      <c r="A20" s="274"/>
      <c r="B20" s="293"/>
      <c r="C20" s="293"/>
      <c r="D20" s="293"/>
      <c r="E20" s="293"/>
      <c r="F20" s="274"/>
      <c r="G20" s="293"/>
      <c r="H20" s="293"/>
      <c r="I20" s="274"/>
      <c r="J20"/>
      <c r="K20"/>
      <c r="L20"/>
      <c r="M20"/>
      <c r="N20" s="309"/>
      <c r="O20" s="309"/>
      <c r="P20" s="309"/>
    </row>
    <row r="21" spans="1:16" ht="4.5" customHeight="1" x14ac:dyDescent="0.45">
      <c r="A21"/>
      <c r="B21"/>
      <c r="C21"/>
      <c r="D21"/>
      <c r="E21" s="128"/>
      <c r="F21" s="128"/>
      <c r="G21" s="128"/>
      <c r="H21" s="128"/>
      <c r="I21"/>
      <c r="J21"/>
      <c r="K21"/>
      <c r="L21"/>
      <c r="M21"/>
      <c r="N21" s="309"/>
      <c r="O21" s="309"/>
      <c r="P21" s="309"/>
    </row>
    <row r="22" spans="1:16" ht="27" customHeight="1" x14ac:dyDescent="0.45">
      <c r="A22" s="274"/>
      <c r="B22" s="287" t="s">
        <v>211</v>
      </c>
      <c r="C22" s="288"/>
      <c r="D22" s="288"/>
      <c r="E22" s="288"/>
      <c r="F22" s="288"/>
      <c r="G22" s="288"/>
      <c r="H22" s="288"/>
      <c r="I22" s="274"/>
      <c r="J22"/>
      <c r="K22"/>
      <c r="L22"/>
      <c r="M22"/>
      <c r="N22" s="309"/>
      <c r="O22" s="309"/>
      <c r="P22" s="309"/>
    </row>
    <row r="23" spans="1:16" x14ac:dyDescent="0.35">
      <c r="A23" s="274"/>
      <c r="B23" s="274"/>
      <c r="C23" s="274"/>
      <c r="D23" s="274"/>
      <c r="E23" s="274"/>
      <c r="F23" s="274"/>
      <c r="G23" s="274"/>
      <c r="H23" s="274"/>
      <c r="I23" s="274"/>
      <c r="J23"/>
      <c r="K23"/>
      <c r="L23"/>
      <c r="M23"/>
      <c r="N23" s="309"/>
      <c r="O23" s="309"/>
      <c r="P23" s="309"/>
    </row>
    <row r="24" spans="1:16" ht="20.5" x14ac:dyDescent="0.45">
      <c r="A24" s="274"/>
      <c r="B24" s="289" t="s">
        <v>183</v>
      </c>
      <c r="C24" s="290"/>
      <c r="D24" s="294"/>
      <c r="E24" s="290"/>
      <c r="F24" s="274"/>
      <c r="G24" s="274"/>
      <c r="H24" s="274"/>
      <c r="I24" s="274"/>
      <c r="J24"/>
      <c r="K24"/>
      <c r="L24"/>
      <c r="M24"/>
      <c r="N24" s="309"/>
      <c r="O24" s="309"/>
      <c r="P24" s="309"/>
    </row>
    <row r="25" spans="1:16" ht="9" customHeight="1" x14ac:dyDescent="0.5">
      <c r="A25" s="274"/>
      <c r="B25" s="289"/>
      <c r="C25" s="290"/>
      <c r="D25" s="290"/>
      <c r="E25" s="290"/>
      <c r="F25" s="291"/>
      <c r="G25" s="274"/>
      <c r="H25" s="274"/>
      <c r="I25" s="274"/>
      <c r="J25"/>
      <c r="K25"/>
      <c r="L25"/>
      <c r="M25"/>
      <c r="N25" s="309"/>
      <c r="O25" s="309"/>
      <c r="P25" s="309"/>
    </row>
    <row r="26" spans="1:16" ht="20.5" x14ac:dyDescent="0.45">
      <c r="A26" s="274"/>
      <c r="B26" s="289" t="s">
        <v>178</v>
      </c>
      <c r="C26" s="290"/>
      <c r="D26" s="315"/>
      <c r="E26" s="290"/>
      <c r="F26" s="289" t="s">
        <v>186</v>
      </c>
      <c r="G26" s="290"/>
      <c r="H26" s="355"/>
      <c r="I26" s="274"/>
      <c r="J26"/>
      <c r="K26"/>
      <c r="L26"/>
      <c r="M26"/>
      <c r="N26" s="309"/>
      <c r="O26" s="309"/>
      <c r="P26" s="309"/>
    </row>
    <row r="27" spans="1:16" ht="9" customHeight="1" x14ac:dyDescent="0.5">
      <c r="A27" s="274"/>
      <c r="B27" s="292"/>
      <c r="C27" s="291"/>
      <c r="D27" s="291"/>
      <c r="E27" s="291"/>
      <c r="F27" s="289"/>
      <c r="G27" s="290"/>
      <c r="H27" s="290"/>
      <c r="I27" s="274"/>
      <c r="J27"/>
      <c r="K27"/>
      <c r="L27"/>
      <c r="M27"/>
      <c r="N27" s="309"/>
      <c r="O27" s="309"/>
      <c r="P27" s="309"/>
    </row>
    <row r="28" spans="1:16" ht="20.5" x14ac:dyDescent="0.45">
      <c r="A28" s="274"/>
      <c r="B28" s="289" t="s">
        <v>179</v>
      </c>
      <c r="C28" s="290"/>
      <c r="D28" s="315"/>
      <c r="E28" s="290"/>
      <c r="F28" s="289" t="s">
        <v>187</v>
      </c>
      <c r="G28" s="290"/>
      <c r="H28" s="294"/>
      <c r="I28" s="274"/>
      <c r="J28"/>
      <c r="K28"/>
      <c r="L28"/>
      <c r="M28"/>
      <c r="N28" s="309"/>
      <c r="O28" s="309"/>
      <c r="P28" s="309"/>
    </row>
    <row r="29" spans="1:16" ht="9" customHeight="1" x14ac:dyDescent="0.5">
      <c r="A29" s="274"/>
      <c r="B29" s="289"/>
      <c r="C29" s="290"/>
      <c r="D29" s="290"/>
      <c r="E29" s="290"/>
      <c r="F29" s="292"/>
      <c r="G29" s="291"/>
      <c r="H29" s="291"/>
      <c r="I29" s="274"/>
      <c r="J29"/>
      <c r="K29"/>
      <c r="L29"/>
      <c r="M29"/>
      <c r="N29" s="309"/>
      <c r="O29" s="309"/>
      <c r="P29" s="309"/>
    </row>
    <row r="30" spans="1:16" ht="20.5" x14ac:dyDescent="0.45">
      <c r="A30" s="274"/>
      <c r="B30" s="289" t="s">
        <v>205</v>
      </c>
      <c r="C30" s="290"/>
      <c r="D30" s="294"/>
      <c r="E30" s="290"/>
      <c r="F30" s="289" t="s">
        <v>206</v>
      </c>
      <c r="G30" s="290"/>
      <c r="H30" s="294"/>
      <c r="I30" s="274"/>
      <c r="J30"/>
      <c r="K30"/>
      <c r="L30"/>
      <c r="M30"/>
      <c r="N30" s="309"/>
      <c r="O30" s="309"/>
      <c r="P30" s="309"/>
    </row>
    <row r="31" spans="1:16" ht="9" customHeight="1" x14ac:dyDescent="0.45">
      <c r="A31" s="274"/>
      <c r="B31" s="293"/>
      <c r="C31" s="293"/>
      <c r="D31" s="293"/>
      <c r="E31" s="293"/>
      <c r="F31" s="274"/>
      <c r="G31" s="293"/>
      <c r="H31" s="293"/>
      <c r="I31" s="274"/>
      <c r="J31"/>
      <c r="K31"/>
      <c r="L31"/>
      <c r="M31"/>
      <c r="N31" s="309"/>
      <c r="O31" s="309"/>
      <c r="P31" s="309"/>
    </row>
    <row r="32" spans="1:16" ht="11.25" customHeight="1" x14ac:dyDescent="0.35">
      <c r="A32"/>
      <c r="B32"/>
      <c r="C32"/>
      <c r="D32"/>
      <c r="E32"/>
      <c r="F32"/>
      <c r="G32"/>
      <c r="H32"/>
      <c r="I32"/>
      <c r="J32"/>
      <c r="K32"/>
      <c r="L32"/>
      <c r="M32"/>
      <c r="N32" s="309"/>
      <c r="O32" s="309"/>
      <c r="P32" s="309"/>
    </row>
    <row r="33" ht="3" customHeight="1" x14ac:dyDescent="0.35"/>
  </sheetData>
  <sheetProtection selectLockedCells="1"/>
  <protectedRanges>
    <protectedRange sqref="B2:K2" name="Plage1"/>
  </protectedRanges>
  <dataValidations count="3">
    <dataValidation type="date" allowBlank="1" showInputMessage="1" showErrorMessage="1" error="Veuillez saisir une date comprise entre 01/01/2023 et 31/12/2023" sqref="D9" xr:uid="{999A0B9E-DB4C-4F04-977C-A756172D94E9}">
      <formula1>45566</formula1>
      <formula2>46022</formula2>
    </dataValidation>
    <dataValidation operator="lessThan" allowBlank="1" showInputMessage="1" showErrorMessage="1" sqref="D17 D28" xr:uid="{FA8110A7-4F69-4970-A4C7-88FA89631D8C}"/>
    <dataValidation type="whole" allowBlank="1" showInputMessage="1" showErrorMessage="1" sqref="H26" xr:uid="{87AD65F4-C44D-46FC-A3A2-1BDDA55D9A6B}">
      <formula1>0</formula1>
      <formula2>9.99999999999999E+21</formula2>
    </dataValidation>
  </dataValidations>
  <pageMargins left="0.70866141732283472" right="0.70866141732283472" top="0.74803149606299213" bottom="0.74803149606299213" header="0.31496062992125984" footer="0.31496062992125984"/>
  <pageSetup paperSize="9" scale="6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Valider_bon_recette">
                <anchor moveWithCells="1" sizeWithCells="1">
                  <from>
                    <xdr:col>11</xdr:col>
                    <xdr:colOff>76200</xdr:colOff>
                    <xdr:row>8</xdr:row>
                    <xdr:rowOff>152400</xdr:rowOff>
                  </from>
                  <to>
                    <xdr:col>12</xdr:col>
                    <xdr:colOff>641350</xdr:colOff>
                    <xdr:row>12</xdr:row>
                    <xdr:rowOff>44450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CAF5FCE-8D85-402F-AF6C-B812E0BCD837}">
          <x14:formula1>
            <xm:f>'Liste validation (2)'!$C$2:$C$4</xm:f>
          </x14:formula1>
          <xm:sqref>D19 D30</xm:sqref>
        </x14:dataValidation>
        <x14:dataValidation type="list" allowBlank="1" showInputMessage="1" showErrorMessage="1" xr:uid="{CB9D2F89-0C42-426B-A2BC-E025AA12BFEC}">
          <x14:formula1>
            <xm:f>OFFSET('Liste validation (2)'!G2,0,0,COUNTA('Liste validation (2)'!G:G)-1)</xm:f>
          </x14:formula1>
          <xm:sqref>D24</xm:sqref>
        </x14:dataValidation>
        <x14:dataValidation type="list" allowBlank="1" showInputMessage="1" showErrorMessage="1" xr:uid="{A14DB901-191C-40D7-A59F-EF86C3B6F26F}">
          <x14:formula1>
            <xm:f>OFFSET('Liste validation (2)'!E2,0,0,COUNTA('Liste validation (2)'!E:E)-1)</xm:f>
          </x14:formula1>
          <xm:sqref>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E530E-FFB3-470D-8684-48F60454C14A}">
  <dimension ref="A1:Q67"/>
  <sheetViews>
    <sheetView workbookViewId="0">
      <selection activeCell="J15" sqref="J15"/>
    </sheetView>
  </sheetViews>
  <sheetFormatPr baseColWidth="10" defaultRowHeight="14.5" x14ac:dyDescent="0.35"/>
  <cols>
    <col min="1" max="1" width="12" customWidth="1"/>
    <col min="2" max="2" width="12.81640625" bestFit="1" customWidth="1"/>
    <col min="3" max="3" width="20.1796875" bestFit="1" customWidth="1"/>
    <col min="4" max="4" width="17.7265625" bestFit="1" customWidth="1"/>
    <col min="5" max="5" width="15.1796875" bestFit="1" customWidth="1"/>
    <col min="6" max="7" width="11.453125" style="335"/>
    <col min="8" max="8" width="15.26953125" bestFit="1" customWidth="1"/>
    <col min="9" max="9" width="14.1796875" bestFit="1" customWidth="1"/>
    <col min="16" max="16" width="15.453125" style="333" bestFit="1" customWidth="1"/>
    <col min="17" max="17" width="17.81640625" style="333" bestFit="1" customWidth="1"/>
  </cols>
  <sheetData>
    <row r="1" spans="1:17" x14ac:dyDescent="0.35">
      <c r="A1" s="332" t="s">
        <v>36</v>
      </c>
      <c r="B1" t="s">
        <v>41</v>
      </c>
    </row>
    <row r="3" spans="1:17" x14ac:dyDescent="0.35">
      <c r="C3" s="332" t="s">
        <v>215</v>
      </c>
      <c r="O3" t="s">
        <v>0</v>
      </c>
      <c r="P3" s="334" t="s">
        <v>217</v>
      </c>
      <c r="Q3" s="334" t="s">
        <v>218</v>
      </c>
    </row>
    <row r="4" spans="1:17" x14ac:dyDescent="0.35">
      <c r="A4" s="332" t="s">
        <v>69</v>
      </c>
      <c r="B4" s="332" t="s">
        <v>47</v>
      </c>
      <c r="C4" t="s">
        <v>216</v>
      </c>
      <c r="D4" t="s">
        <v>213</v>
      </c>
      <c r="E4" t="s">
        <v>214</v>
      </c>
      <c r="F4" s="336" t="s">
        <v>217</v>
      </c>
      <c r="G4" s="336" t="s">
        <v>218</v>
      </c>
      <c r="H4" s="57" t="s">
        <v>219</v>
      </c>
      <c r="I4" s="57" t="s">
        <v>220</v>
      </c>
      <c r="J4" s="57" t="s">
        <v>221</v>
      </c>
      <c r="K4" s="57" t="s">
        <v>222</v>
      </c>
      <c r="L4" s="57" t="s">
        <v>223</v>
      </c>
      <c r="M4" s="57" t="s">
        <v>224</v>
      </c>
      <c r="O4">
        <v>37</v>
      </c>
      <c r="P4">
        <v>6</v>
      </c>
      <c r="Q4">
        <v>1</v>
      </c>
    </row>
    <row r="5" spans="1:17" x14ac:dyDescent="0.35">
      <c r="A5">
        <v>10</v>
      </c>
      <c r="B5" t="s">
        <v>79</v>
      </c>
      <c r="C5">
        <v>1</v>
      </c>
      <c r="D5" s="337">
        <v>500</v>
      </c>
      <c r="E5">
        <v>500</v>
      </c>
      <c r="F5" s="335">
        <v>2</v>
      </c>
      <c r="G5" s="335">
        <v>0</v>
      </c>
      <c r="H5" s="335">
        <f>M5*F5*52</f>
        <v>2175.1633986928105</v>
      </c>
      <c r="I5" s="337">
        <f>G5*15*52</f>
        <v>0</v>
      </c>
      <c r="K5" s="337">
        <f>D5-H5-I5-J5</f>
        <v>-1675.1633986928105</v>
      </c>
      <c r="L5">
        <v>1600</v>
      </c>
      <c r="M5" s="335">
        <f>L5/(SUMIF(B:B,B5,F:F)*4.5)</f>
        <v>20.915032679738562</v>
      </c>
      <c r="N5" s="335"/>
      <c r="O5">
        <v>38</v>
      </c>
      <c r="P5">
        <v>6</v>
      </c>
      <c r="Q5">
        <v>1</v>
      </c>
    </row>
    <row r="6" spans="1:17" x14ac:dyDescent="0.35">
      <c r="A6">
        <v>22</v>
      </c>
      <c r="B6" t="s">
        <v>29</v>
      </c>
      <c r="C6">
        <v>4</v>
      </c>
      <c r="D6" s="337">
        <v>6800</v>
      </c>
      <c r="E6">
        <v>4200</v>
      </c>
      <c r="F6" s="335">
        <v>10</v>
      </c>
      <c r="G6" s="335">
        <v>2</v>
      </c>
      <c r="H6" s="335">
        <f t="shared" ref="H6:H27" si="0">M6*F6*52</f>
        <v>11555.555555555557</v>
      </c>
      <c r="I6" s="337">
        <f t="shared" ref="I6:I27" si="1">G6*15*52</f>
        <v>1560</v>
      </c>
      <c r="K6" s="337">
        <f t="shared" ref="K6:K28" si="2">D6-H6-I6-J6</f>
        <v>-6315.5555555555566</v>
      </c>
      <c r="L6">
        <v>2000</v>
      </c>
      <c r="M6" s="335">
        <f>L6/(SUMIF(B:B,B6,F:F)*4.5)</f>
        <v>22.222222222222221</v>
      </c>
      <c r="N6" s="335"/>
      <c r="O6">
        <v>50</v>
      </c>
      <c r="P6">
        <v>4</v>
      </c>
      <c r="Q6">
        <v>0</v>
      </c>
    </row>
    <row r="7" spans="1:17" x14ac:dyDescent="0.35">
      <c r="A7">
        <v>23</v>
      </c>
      <c r="B7" t="s">
        <v>29</v>
      </c>
      <c r="C7">
        <v>5</v>
      </c>
      <c r="D7" s="337">
        <v>8330</v>
      </c>
      <c r="E7">
        <v>7130</v>
      </c>
      <c r="F7" s="335">
        <v>10</v>
      </c>
      <c r="G7" s="335">
        <v>2</v>
      </c>
      <c r="H7" s="335">
        <f t="shared" si="0"/>
        <v>11555.555555555557</v>
      </c>
      <c r="I7" s="337">
        <f t="shared" si="1"/>
        <v>1560</v>
      </c>
      <c r="K7" s="337">
        <f t="shared" si="2"/>
        <v>-4785.5555555555566</v>
      </c>
      <c r="L7">
        <v>2000</v>
      </c>
      <c r="M7" s="335">
        <f>L7/(SUMIF(B:B,B7,F:F)*4.5)</f>
        <v>22.222222222222221</v>
      </c>
      <c r="N7" s="335"/>
      <c r="O7">
        <v>4</v>
      </c>
      <c r="P7">
        <v>2</v>
      </c>
      <c r="Q7">
        <v>0</v>
      </c>
    </row>
    <row r="8" spans="1:17" x14ac:dyDescent="0.35">
      <c r="A8">
        <v>29</v>
      </c>
      <c r="B8" t="s">
        <v>49</v>
      </c>
      <c r="C8">
        <v>5</v>
      </c>
      <c r="D8" s="337">
        <v>5880</v>
      </c>
      <c r="E8">
        <v>4930</v>
      </c>
      <c r="F8" s="335">
        <v>4</v>
      </c>
      <c r="G8" s="335">
        <v>1</v>
      </c>
      <c r="H8" s="335">
        <f t="shared" si="0"/>
        <v>2704</v>
      </c>
      <c r="I8" s="337">
        <f t="shared" si="1"/>
        <v>780</v>
      </c>
      <c r="K8" s="337">
        <f t="shared" si="2"/>
        <v>2396</v>
      </c>
      <c r="M8">
        <v>13</v>
      </c>
      <c r="O8">
        <v>8</v>
      </c>
      <c r="P8">
        <v>2</v>
      </c>
      <c r="Q8">
        <v>0</v>
      </c>
    </row>
    <row r="9" spans="1:17" x14ac:dyDescent="0.35">
      <c r="A9">
        <v>37</v>
      </c>
      <c r="B9" t="s">
        <v>75</v>
      </c>
      <c r="C9">
        <v>6</v>
      </c>
      <c r="D9" s="337">
        <v>4800</v>
      </c>
      <c r="E9">
        <v>4800</v>
      </c>
      <c r="F9" s="335">
        <v>6</v>
      </c>
      <c r="G9" s="335">
        <v>1</v>
      </c>
      <c r="H9" s="335">
        <f t="shared" si="0"/>
        <v>6933.3333333333321</v>
      </c>
      <c r="I9" s="337">
        <f t="shared" si="1"/>
        <v>780</v>
      </c>
      <c r="K9" s="337">
        <f t="shared" si="2"/>
        <v>-2913.3333333333321</v>
      </c>
      <c r="L9">
        <v>1800</v>
      </c>
      <c r="M9" s="335">
        <f t="shared" ref="M9:M15" si="3">L9/(SUMIF(B:B,B9,F:F)*4.5)</f>
        <v>22.222222222222221</v>
      </c>
      <c r="N9" s="335"/>
      <c r="O9">
        <v>17</v>
      </c>
      <c r="P9">
        <v>2</v>
      </c>
      <c r="Q9">
        <v>0</v>
      </c>
    </row>
    <row r="10" spans="1:17" x14ac:dyDescent="0.35">
      <c r="A10">
        <v>38</v>
      </c>
      <c r="B10" t="s">
        <v>75</v>
      </c>
      <c r="C10">
        <v>5</v>
      </c>
      <c r="D10" s="337">
        <v>4900</v>
      </c>
      <c r="E10">
        <v>4050</v>
      </c>
      <c r="F10" s="335">
        <v>6</v>
      </c>
      <c r="G10" s="335">
        <v>1</v>
      </c>
      <c r="H10" s="335">
        <f t="shared" si="0"/>
        <v>6933.3333333333321</v>
      </c>
      <c r="I10" s="337">
        <f t="shared" si="1"/>
        <v>780</v>
      </c>
      <c r="K10" s="337">
        <f t="shared" si="2"/>
        <v>-2813.3333333333321</v>
      </c>
      <c r="L10">
        <v>1800</v>
      </c>
      <c r="M10" s="335">
        <f t="shared" si="3"/>
        <v>22.222222222222221</v>
      </c>
      <c r="N10" s="335"/>
      <c r="O10">
        <v>28</v>
      </c>
      <c r="P10">
        <v>2</v>
      </c>
      <c r="Q10">
        <v>0</v>
      </c>
    </row>
    <row r="11" spans="1:17" x14ac:dyDescent="0.35">
      <c r="A11">
        <v>39</v>
      </c>
      <c r="B11" t="s">
        <v>75</v>
      </c>
      <c r="C11">
        <v>7</v>
      </c>
      <c r="D11" s="337">
        <v>6690</v>
      </c>
      <c r="E11">
        <v>6690</v>
      </c>
      <c r="F11" s="335">
        <v>6</v>
      </c>
      <c r="G11" s="335">
        <v>1</v>
      </c>
      <c r="H11" s="335">
        <f t="shared" si="0"/>
        <v>6933.3333333333321</v>
      </c>
      <c r="I11" s="337">
        <f t="shared" si="1"/>
        <v>780</v>
      </c>
      <c r="K11" s="337">
        <f t="shared" si="2"/>
        <v>-1023.3333333333321</v>
      </c>
      <c r="L11">
        <v>1800</v>
      </c>
      <c r="M11" s="335">
        <f t="shared" si="3"/>
        <v>22.222222222222221</v>
      </c>
      <c r="N11" s="335"/>
      <c r="O11">
        <v>32</v>
      </c>
      <c r="P11">
        <v>2</v>
      </c>
      <c r="Q11">
        <v>0</v>
      </c>
    </row>
    <row r="12" spans="1:17" x14ac:dyDescent="0.35">
      <c r="A12">
        <v>40</v>
      </c>
      <c r="B12" t="s">
        <v>77</v>
      </c>
      <c r="C12">
        <v>5</v>
      </c>
      <c r="D12" s="337">
        <v>5700</v>
      </c>
      <c r="E12">
        <v>5700</v>
      </c>
      <c r="F12" s="335">
        <v>8</v>
      </c>
      <c r="G12" s="335">
        <v>2</v>
      </c>
      <c r="H12" s="335">
        <f t="shared" si="0"/>
        <v>8217.2839506172841</v>
      </c>
      <c r="I12" s="337">
        <f t="shared" si="1"/>
        <v>1560</v>
      </c>
      <c r="K12" s="337">
        <f t="shared" si="2"/>
        <v>-4077.2839506172841</v>
      </c>
      <c r="L12">
        <v>1600</v>
      </c>
      <c r="M12" s="335">
        <f t="shared" si="3"/>
        <v>19.753086419753085</v>
      </c>
      <c r="N12" s="335"/>
      <c r="O12">
        <v>59</v>
      </c>
      <c r="P12">
        <v>2</v>
      </c>
      <c r="Q12">
        <v>0</v>
      </c>
    </row>
    <row r="13" spans="1:17" x14ac:dyDescent="0.35">
      <c r="A13">
        <v>41</v>
      </c>
      <c r="B13" t="s">
        <v>77</v>
      </c>
      <c r="C13">
        <v>5</v>
      </c>
      <c r="D13" s="337">
        <v>8296</v>
      </c>
      <c r="E13">
        <v>6300</v>
      </c>
      <c r="F13" s="335">
        <v>10</v>
      </c>
      <c r="G13" s="335">
        <v>2</v>
      </c>
      <c r="H13" s="335">
        <f t="shared" si="0"/>
        <v>10271.604938271605</v>
      </c>
      <c r="I13" s="337">
        <f t="shared" si="1"/>
        <v>1560</v>
      </c>
      <c r="K13" s="337">
        <f t="shared" si="2"/>
        <v>-3535.6049382716046</v>
      </c>
      <c r="L13">
        <v>1600</v>
      </c>
      <c r="M13" s="335">
        <f t="shared" si="3"/>
        <v>19.753086419753085</v>
      </c>
      <c r="N13" s="335"/>
      <c r="O13">
        <v>39</v>
      </c>
      <c r="P13">
        <v>6</v>
      </c>
      <c r="Q13">
        <v>1</v>
      </c>
    </row>
    <row r="14" spans="1:17" x14ac:dyDescent="0.35">
      <c r="A14">
        <v>42</v>
      </c>
      <c r="B14" t="s">
        <v>76</v>
      </c>
      <c r="C14">
        <v>5</v>
      </c>
      <c r="D14" s="337">
        <v>8160</v>
      </c>
      <c r="E14">
        <v>6030</v>
      </c>
      <c r="F14" s="335">
        <v>10</v>
      </c>
      <c r="G14" s="335">
        <v>2</v>
      </c>
      <c r="H14" s="335">
        <f t="shared" si="0"/>
        <v>12839.506172839505</v>
      </c>
      <c r="I14" s="337">
        <f t="shared" si="1"/>
        <v>1560</v>
      </c>
      <c r="K14" s="337">
        <f t="shared" si="2"/>
        <v>-6239.5061728395049</v>
      </c>
      <c r="L14">
        <v>2000</v>
      </c>
      <c r="M14" s="335">
        <f t="shared" si="3"/>
        <v>24.691358024691358</v>
      </c>
      <c r="N14" s="335"/>
      <c r="O14">
        <v>49</v>
      </c>
      <c r="P14">
        <v>4</v>
      </c>
      <c r="Q14">
        <v>0</v>
      </c>
    </row>
    <row r="15" spans="1:17" x14ac:dyDescent="0.35">
      <c r="A15">
        <v>43</v>
      </c>
      <c r="B15" t="s">
        <v>76</v>
      </c>
      <c r="C15">
        <v>6</v>
      </c>
      <c r="D15" s="337">
        <v>8250</v>
      </c>
      <c r="E15">
        <v>8250</v>
      </c>
      <c r="F15" s="335">
        <v>8</v>
      </c>
      <c r="G15" s="335">
        <v>2</v>
      </c>
      <c r="H15" s="335">
        <f t="shared" si="0"/>
        <v>10271.604938271605</v>
      </c>
      <c r="I15" s="337">
        <f t="shared" si="1"/>
        <v>1560</v>
      </c>
      <c r="K15" s="337">
        <f t="shared" si="2"/>
        <v>-3581.6049382716046</v>
      </c>
      <c r="L15">
        <v>2000</v>
      </c>
      <c r="M15" s="335">
        <f t="shared" si="3"/>
        <v>24.691358024691358</v>
      </c>
      <c r="N15" s="335"/>
      <c r="O15">
        <v>14</v>
      </c>
      <c r="P15">
        <v>2</v>
      </c>
      <c r="Q15">
        <v>0</v>
      </c>
    </row>
    <row r="16" spans="1:17" x14ac:dyDescent="0.35">
      <c r="A16">
        <v>44</v>
      </c>
      <c r="B16" t="s">
        <v>78</v>
      </c>
      <c r="C16">
        <v>4</v>
      </c>
      <c r="D16" s="337">
        <v>6800</v>
      </c>
      <c r="E16">
        <v>4100</v>
      </c>
      <c r="F16" s="335">
        <v>10</v>
      </c>
      <c r="G16" s="335">
        <v>2</v>
      </c>
      <c r="H16" s="335">
        <f t="shared" si="0"/>
        <v>7800</v>
      </c>
      <c r="I16" s="337">
        <f t="shared" si="1"/>
        <v>1560</v>
      </c>
      <c r="K16" s="337">
        <f t="shared" si="2"/>
        <v>-2560</v>
      </c>
      <c r="M16">
        <v>15</v>
      </c>
      <c r="O16">
        <v>5</v>
      </c>
      <c r="P16">
        <v>2</v>
      </c>
      <c r="Q16">
        <v>0</v>
      </c>
    </row>
    <row r="17" spans="1:17" x14ac:dyDescent="0.35">
      <c r="A17">
        <v>45</v>
      </c>
      <c r="B17" t="s">
        <v>12</v>
      </c>
      <c r="C17">
        <v>4</v>
      </c>
      <c r="D17" s="337">
        <v>3900</v>
      </c>
      <c r="E17">
        <v>3330</v>
      </c>
      <c r="F17" s="335">
        <v>6</v>
      </c>
      <c r="G17" s="335">
        <v>1</v>
      </c>
      <c r="H17" s="335">
        <f t="shared" si="0"/>
        <v>4056</v>
      </c>
      <c r="I17" s="337">
        <f t="shared" si="1"/>
        <v>780</v>
      </c>
      <c r="K17" s="337">
        <f t="shared" si="2"/>
        <v>-936</v>
      </c>
      <c r="M17">
        <v>13</v>
      </c>
      <c r="O17">
        <v>21</v>
      </c>
      <c r="P17">
        <v>2</v>
      </c>
      <c r="Q17">
        <v>0</v>
      </c>
    </row>
    <row r="18" spans="1:17" x14ac:dyDescent="0.35">
      <c r="A18">
        <v>46</v>
      </c>
      <c r="B18" t="s">
        <v>12</v>
      </c>
      <c r="C18">
        <v>6</v>
      </c>
      <c r="D18" s="337">
        <v>10100</v>
      </c>
      <c r="E18">
        <v>5150</v>
      </c>
      <c r="F18" s="335">
        <v>9</v>
      </c>
      <c r="G18" s="335">
        <v>1</v>
      </c>
      <c r="H18" s="335">
        <f t="shared" si="0"/>
        <v>6084</v>
      </c>
      <c r="I18" s="337">
        <f t="shared" si="1"/>
        <v>780</v>
      </c>
      <c r="K18" s="337">
        <f t="shared" si="2"/>
        <v>3236</v>
      </c>
      <c r="M18">
        <v>13</v>
      </c>
      <c r="O18">
        <v>24</v>
      </c>
      <c r="P18">
        <v>2</v>
      </c>
      <c r="Q18">
        <v>0</v>
      </c>
    </row>
    <row r="19" spans="1:17" x14ac:dyDescent="0.35">
      <c r="A19">
        <v>47</v>
      </c>
      <c r="B19" t="s">
        <v>12</v>
      </c>
      <c r="C19">
        <v>6</v>
      </c>
      <c r="D19" s="337">
        <v>4900</v>
      </c>
      <c r="E19">
        <v>4300</v>
      </c>
      <c r="F19" s="335">
        <v>2</v>
      </c>
      <c r="G19" s="335">
        <v>1</v>
      </c>
      <c r="H19" s="335">
        <f t="shared" si="0"/>
        <v>1352</v>
      </c>
      <c r="I19" s="337">
        <f t="shared" si="1"/>
        <v>780</v>
      </c>
      <c r="K19" s="337">
        <f t="shared" si="2"/>
        <v>2768</v>
      </c>
      <c r="M19">
        <v>13</v>
      </c>
      <c r="O19">
        <v>29</v>
      </c>
      <c r="P19">
        <v>4</v>
      </c>
      <c r="Q19">
        <v>1</v>
      </c>
    </row>
    <row r="20" spans="1:17" x14ac:dyDescent="0.35">
      <c r="A20">
        <v>48</v>
      </c>
      <c r="B20" t="s">
        <v>79</v>
      </c>
      <c r="C20">
        <v>6</v>
      </c>
      <c r="D20" s="337">
        <v>6510</v>
      </c>
      <c r="E20">
        <v>6910</v>
      </c>
      <c r="F20" s="335">
        <v>7</v>
      </c>
      <c r="G20" s="335">
        <v>2</v>
      </c>
      <c r="H20" s="335">
        <f t="shared" si="0"/>
        <v>7613.0718954248359</v>
      </c>
      <c r="I20" s="337">
        <f t="shared" si="1"/>
        <v>1560</v>
      </c>
      <c r="K20" s="337">
        <f t="shared" si="2"/>
        <v>-2663.0718954248359</v>
      </c>
      <c r="L20">
        <v>1600</v>
      </c>
      <c r="M20" s="335">
        <f>L20/(SUMIF(B:B,B20,F:F)*4.5)</f>
        <v>20.915032679738562</v>
      </c>
      <c r="N20" s="335"/>
      <c r="O20">
        <v>48</v>
      </c>
      <c r="P20">
        <v>7</v>
      </c>
      <c r="Q20">
        <v>2</v>
      </c>
    </row>
    <row r="21" spans="1:17" x14ac:dyDescent="0.35">
      <c r="A21">
        <v>49</v>
      </c>
      <c r="B21" t="s">
        <v>79</v>
      </c>
      <c r="C21">
        <v>8</v>
      </c>
      <c r="D21" s="337">
        <v>5410</v>
      </c>
      <c r="E21">
        <v>5090</v>
      </c>
      <c r="F21" s="335">
        <v>4</v>
      </c>
      <c r="G21" s="335">
        <v>0</v>
      </c>
      <c r="H21" s="335">
        <f t="shared" si="0"/>
        <v>4350.3267973856209</v>
      </c>
      <c r="I21" s="337">
        <f t="shared" si="1"/>
        <v>0</v>
      </c>
      <c r="K21" s="337">
        <f t="shared" si="2"/>
        <v>1059.6732026143791</v>
      </c>
      <c r="L21">
        <v>1600</v>
      </c>
      <c r="M21" s="335">
        <f>L21/(SUMIF(B:B,B21,F:F)*4.5)</f>
        <v>20.915032679738562</v>
      </c>
      <c r="N21" s="335"/>
      <c r="O21">
        <v>6</v>
      </c>
      <c r="P21">
        <v>2</v>
      </c>
      <c r="Q21">
        <v>0</v>
      </c>
    </row>
    <row r="22" spans="1:17" x14ac:dyDescent="0.35">
      <c r="A22">
        <v>50</v>
      </c>
      <c r="B22" t="s">
        <v>79</v>
      </c>
      <c r="C22">
        <v>5</v>
      </c>
      <c r="D22" s="337">
        <v>3920</v>
      </c>
      <c r="E22">
        <v>3920</v>
      </c>
      <c r="F22" s="335">
        <v>4</v>
      </c>
      <c r="G22" s="335">
        <v>0</v>
      </c>
      <c r="H22" s="335">
        <f t="shared" si="0"/>
        <v>4350.3267973856209</v>
      </c>
      <c r="I22" s="337">
        <f t="shared" si="1"/>
        <v>0</v>
      </c>
      <c r="K22" s="337">
        <f t="shared" si="2"/>
        <v>-430.32679738562092</v>
      </c>
      <c r="L22">
        <v>1600</v>
      </c>
      <c r="M22" s="335">
        <f>L22/(SUMIF(B:B,B22,F:F)*4.5)</f>
        <v>20.915032679738562</v>
      </c>
      <c r="N22" s="335"/>
      <c r="O22">
        <v>12</v>
      </c>
      <c r="P22">
        <v>2</v>
      </c>
      <c r="Q22">
        <v>0</v>
      </c>
    </row>
    <row r="23" spans="1:17" x14ac:dyDescent="0.35">
      <c r="A23">
        <v>51</v>
      </c>
      <c r="B23" t="s">
        <v>27</v>
      </c>
      <c r="C23">
        <v>6</v>
      </c>
      <c r="D23" s="337">
        <v>7550</v>
      </c>
      <c r="E23">
        <v>7550</v>
      </c>
      <c r="F23" s="335">
        <v>8</v>
      </c>
      <c r="G23" s="335">
        <v>2</v>
      </c>
      <c r="H23" s="335">
        <f t="shared" si="0"/>
        <v>5408</v>
      </c>
      <c r="I23" s="337">
        <f t="shared" si="1"/>
        <v>1560</v>
      </c>
      <c r="K23" s="337">
        <f t="shared" si="2"/>
        <v>582</v>
      </c>
      <c r="M23">
        <v>13</v>
      </c>
      <c r="O23">
        <v>18</v>
      </c>
      <c r="P23">
        <v>2</v>
      </c>
      <c r="Q23">
        <v>0</v>
      </c>
    </row>
    <row r="24" spans="1:17" x14ac:dyDescent="0.35">
      <c r="A24">
        <v>52</v>
      </c>
      <c r="B24" t="s">
        <v>80</v>
      </c>
      <c r="C24">
        <v>6</v>
      </c>
      <c r="D24" s="337">
        <v>10030</v>
      </c>
      <c r="E24">
        <v>7630</v>
      </c>
      <c r="F24" s="335">
        <v>10</v>
      </c>
      <c r="G24" s="335">
        <v>2</v>
      </c>
      <c r="H24" s="335">
        <f t="shared" si="0"/>
        <v>14123.456790123459</v>
      </c>
      <c r="I24" s="337">
        <f t="shared" si="1"/>
        <v>1560</v>
      </c>
      <c r="J24">
        <f>130*6</f>
        <v>780</v>
      </c>
      <c r="K24" s="337">
        <f t="shared" si="2"/>
        <v>-6433.4567901234586</v>
      </c>
      <c r="L24">
        <v>2200</v>
      </c>
      <c r="M24" s="335">
        <f>L24/(SUMIF(B:B,B24,F:F)*4.5)</f>
        <v>27.160493827160494</v>
      </c>
      <c r="N24" s="335"/>
      <c r="O24">
        <v>27</v>
      </c>
      <c r="P24">
        <v>2</v>
      </c>
      <c r="Q24">
        <v>0</v>
      </c>
    </row>
    <row r="25" spans="1:17" x14ac:dyDescent="0.35">
      <c r="A25">
        <v>53</v>
      </c>
      <c r="B25" t="s">
        <v>80</v>
      </c>
      <c r="C25">
        <v>5</v>
      </c>
      <c r="D25" s="337">
        <v>7350</v>
      </c>
      <c r="E25">
        <v>7350</v>
      </c>
      <c r="F25" s="335">
        <v>8</v>
      </c>
      <c r="G25" s="335">
        <v>2</v>
      </c>
      <c r="H25" s="335">
        <f t="shared" si="0"/>
        <v>11298.765432098766</v>
      </c>
      <c r="I25" s="337">
        <f t="shared" si="1"/>
        <v>1560</v>
      </c>
      <c r="K25" s="337">
        <f t="shared" si="2"/>
        <v>-5508.7654320987658</v>
      </c>
      <c r="L25">
        <v>2200</v>
      </c>
      <c r="M25" s="335">
        <f>L25/(SUMIF(B:B,B25,F:F)*4.5)</f>
        <v>27.160493827160494</v>
      </c>
      <c r="N25" s="335"/>
      <c r="O25">
        <v>33</v>
      </c>
      <c r="P25">
        <v>2</v>
      </c>
      <c r="Q25">
        <v>0</v>
      </c>
    </row>
    <row r="26" spans="1:17" x14ac:dyDescent="0.35">
      <c r="A26">
        <v>54</v>
      </c>
      <c r="B26" t="s">
        <v>81</v>
      </c>
      <c r="C26">
        <v>6</v>
      </c>
      <c r="D26" s="337">
        <v>7590</v>
      </c>
      <c r="E26">
        <v>7550</v>
      </c>
      <c r="F26" s="335">
        <v>8</v>
      </c>
      <c r="G26" s="335">
        <v>1</v>
      </c>
      <c r="H26" s="335">
        <f t="shared" si="0"/>
        <v>5408</v>
      </c>
      <c r="I26" s="337">
        <f t="shared" si="1"/>
        <v>780</v>
      </c>
      <c r="K26" s="337">
        <f t="shared" si="2"/>
        <v>1402</v>
      </c>
      <c r="M26">
        <v>13</v>
      </c>
      <c r="O26">
        <v>46</v>
      </c>
      <c r="P26">
        <v>9</v>
      </c>
      <c r="Q26">
        <v>1</v>
      </c>
    </row>
    <row r="27" spans="1:17" x14ac:dyDescent="0.35">
      <c r="A27">
        <v>55</v>
      </c>
      <c r="B27" t="s">
        <v>81</v>
      </c>
      <c r="C27">
        <v>5</v>
      </c>
      <c r="D27" s="337">
        <v>6800</v>
      </c>
      <c r="E27">
        <v>5800</v>
      </c>
      <c r="F27" s="335">
        <v>8</v>
      </c>
      <c r="G27" s="335">
        <v>2</v>
      </c>
      <c r="H27" s="335">
        <f t="shared" si="0"/>
        <v>5408</v>
      </c>
      <c r="I27" s="337">
        <f t="shared" si="1"/>
        <v>1560</v>
      </c>
      <c r="K27" s="337">
        <f t="shared" si="2"/>
        <v>-168</v>
      </c>
      <c r="M27">
        <v>13</v>
      </c>
      <c r="O27">
        <v>57</v>
      </c>
      <c r="P27">
        <v>2</v>
      </c>
      <c r="Q27">
        <v>0</v>
      </c>
    </row>
    <row r="28" spans="1:17" x14ac:dyDescent="0.35">
      <c r="A28" t="s">
        <v>212</v>
      </c>
      <c r="C28">
        <v>121</v>
      </c>
      <c r="D28">
        <v>149166</v>
      </c>
      <c r="E28">
        <v>127260</v>
      </c>
      <c r="H28" s="338">
        <f>SUM(H5:H27)</f>
        <v>167642.22222222222</v>
      </c>
      <c r="I28" s="338">
        <f>SUM(I5:I27)</f>
        <v>24960</v>
      </c>
      <c r="K28" s="337">
        <f t="shared" si="2"/>
        <v>-43436.222222222219</v>
      </c>
      <c r="O28">
        <v>2</v>
      </c>
      <c r="P28">
        <v>2</v>
      </c>
      <c r="Q28">
        <v>0</v>
      </c>
    </row>
    <row r="29" spans="1:17" x14ac:dyDescent="0.35">
      <c r="H29" s="337"/>
      <c r="O29">
        <v>10</v>
      </c>
      <c r="P29">
        <v>2</v>
      </c>
      <c r="Q29">
        <v>0</v>
      </c>
    </row>
    <row r="30" spans="1:17" x14ac:dyDescent="0.35">
      <c r="O30">
        <v>19</v>
      </c>
      <c r="P30">
        <v>2</v>
      </c>
      <c r="Q30">
        <v>0</v>
      </c>
    </row>
    <row r="31" spans="1:17" x14ac:dyDescent="0.35">
      <c r="D31">
        <f>1700*6</f>
        <v>10200</v>
      </c>
      <c r="O31">
        <v>26</v>
      </c>
      <c r="P31">
        <v>2</v>
      </c>
      <c r="Q31">
        <v>0</v>
      </c>
    </row>
    <row r="32" spans="1:17" x14ac:dyDescent="0.35">
      <c r="O32">
        <v>34</v>
      </c>
      <c r="P32">
        <v>2</v>
      </c>
      <c r="Q32">
        <v>0</v>
      </c>
    </row>
    <row r="33" spans="15:17" x14ac:dyDescent="0.35">
      <c r="O33">
        <v>45</v>
      </c>
      <c r="P33">
        <v>6</v>
      </c>
      <c r="Q33">
        <v>1</v>
      </c>
    </row>
    <row r="34" spans="15:17" x14ac:dyDescent="0.35">
      <c r="O34">
        <v>60</v>
      </c>
      <c r="P34">
        <v>2</v>
      </c>
      <c r="Q34">
        <v>0</v>
      </c>
    </row>
    <row r="35" spans="15:17" x14ac:dyDescent="0.35">
      <c r="O35">
        <v>11</v>
      </c>
      <c r="P35">
        <v>2</v>
      </c>
      <c r="Q35">
        <v>0</v>
      </c>
    </row>
    <row r="36" spans="15:17" x14ac:dyDescent="0.35">
      <c r="O36">
        <v>20</v>
      </c>
      <c r="P36">
        <v>2</v>
      </c>
      <c r="Q36">
        <v>0</v>
      </c>
    </row>
    <row r="37" spans="15:17" x14ac:dyDescent="0.35">
      <c r="O37">
        <v>35</v>
      </c>
      <c r="P37">
        <v>3</v>
      </c>
      <c r="Q37">
        <v>0</v>
      </c>
    </row>
    <row r="38" spans="15:17" x14ac:dyDescent="0.35">
      <c r="O38">
        <v>61</v>
      </c>
      <c r="P38">
        <v>2</v>
      </c>
      <c r="Q38">
        <v>0</v>
      </c>
    </row>
    <row r="39" spans="15:17" x14ac:dyDescent="0.35">
      <c r="O39">
        <v>3</v>
      </c>
      <c r="P39">
        <v>2</v>
      </c>
      <c r="Q39">
        <v>0</v>
      </c>
    </row>
    <row r="40" spans="15:17" x14ac:dyDescent="0.35">
      <c r="O40">
        <v>13</v>
      </c>
      <c r="P40">
        <v>2</v>
      </c>
      <c r="Q40">
        <v>0</v>
      </c>
    </row>
    <row r="41" spans="15:17" x14ac:dyDescent="0.35">
      <c r="O41">
        <v>36</v>
      </c>
      <c r="P41">
        <v>2</v>
      </c>
      <c r="Q41">
        <v>0</v>
      </c>
    </row>
    <row r="42" spans="15:17" x14ac:dyDescent="0.35">
      <c r="O42">
        <v>58</v>
      </c>
      <c r="P42">
        <v>2</v>
      </c>
      <c r="Q42">
        <v>0</v>
      </c>
    </row>
    <row r="43" spans="15:17" x14ac:dyDescent="0.35">
      <c r="O43">
        <v>16</v>
      </c>
      <c r="P43">
        <v>4</v>
      </c>
      <c r="Q43">
        <v>0</v>
      </c>
    </row>
    <row r="44" spans="15:17" x14ac:dyDescent="0.35">
      <c r="O44">
        <v>1</v>
      </c>
      <c r="P44">
        <v>2</v>
      </c>
      <c r="Q44">
        <v>0</v>
      </c>
    </row>
    <row r="45" spans="15:17" x14ac:dyDescent="0.35">
      <c r="O45">
        <v>7</v>
      </c>
      <c r="P45">
        <v>2</v>
      </c>
      <c r="Q45">
        <v>0</v>
      </c>
    </row>
    <row r="46" spans="15:17" x14ac:dyDescent="0.35">
      <c r="O46">
        <v>9</v>
      </c>
      <c r="P46">
        <v>2</v>
      </c>
      <c r="Q46">
        <v>0</v>
      </c>
    </row>
    <row r="47" spans="15:17" x14ac:dyDescent="0.35">
      <c r="O47">
        <v>15</v>
      </c>
      <c r="P47">
        <v>2</v>
      </c>
      <c r="Q47">
        <v>0</v>
      </c>
    </row>
    <row r="48" spans="15:17" x14ac:dyDescent="0.35">
      <c r="O48">
        <v>22</v>
      </c>
      <c r="P48">
        <v>10</v>
      </c>
      <c r="Q48">
        <v>2</v>
      </c>
    </row>
    <row r="49" spans="15:17" x14ac:dyDescent="0.35">
      <c r="O49">
        <v>23</v>
      </c>
      <c r="P49">
        <v>10</v>
      </c>
      <c r="Q49">
        <v>2</v>
      </c>
    </row>
    <row r="50" spans="15:17" x14ac:dyDescent="0.35">
      <c r="O50">
        <v>25</v>
      </c>
      <c r="P50">
        <v>3</v>
      </c>
      <c r="Q50">
        <v>0</v>
      </c>
    </row>
    <row r="51" spans="15:17" x14ac:dyDescent="0.35">
      <c r="O51">
        <v>30</v>
      </c>
      <c r="P51">
        <v>2</v>
      </c>
      <c r="Q51">
        <v>0</v>
      </c>
    </row>
    <row r="52" spans="15:17" x14ac:dyDescent="0.35">
      <c r="O52">
        <v>31</v>
      </c>
      <c r="P52">
        <v>2</v>
      </c>
      <c r="Q52">
        <v>0</v>
      </c>
    </row>
    <row r="53" spans="15:17" x14ac:dyDescent="0.35">
      <c r="O53">
        <v>40</v>
      </c>
      <c r="P53">
        <v>8</v>
      </c>
      <c r="Q53">
        <v>2</v>
      </c>
    </row>
    <row r="54" spans="15:17" x14ac:dyDescent="0.35">
      <c r="O54">
        <v>41</v>
      </c>
      <c r="P54">
        <v>10</v>
      </c>
      <c r="Q54">
        <v>2</v>
      </c>
    </row>
    <row r="55" spans="15:17" x14ac:dyDescent="0.35">
      <c r="O55">
        <v>42</v>
      </c>
      <c r="P55">
        <v>10</v>
      </c>
      <c r="Q55" t="e">
        <v>#REF!</v>
      </c>
    </row>
    <row r="56" spans="15:17" x14ac:dyDescent="0.35">
      <c r="O56">
        <v>43</v>
      </c>
      <c r="P56">
        <v>8</v>
      </c>
      <c r="Q56">
        <v>2</v>
      </c>
    </row>
    <row r="57" spans="15:17" x14ac:dyDescent="0.35">
      <c r="O57">
        <v>44</v>
      </c>
      <c r="P57">
        <v>10</v>
      </c>
      <c r="Q57">
        <v>2</v>
      </c>
    </row>
    <row r="58" spans="15:17" x14ac:dyDescent="0.35">
      <c r="O58">
        <v>47</v>
      </c>
      <c r="P58">
        <v>2</v>
      </c>
      <c r="Q58">
        <v>1</v>
      </c>
    </row>
    <row r="59" spans="15:17" x14ac:dyDescent="0.35">
      <c r="O59">
        <v>51</v>
      </c>
      <c r="P59">
        <v>8</v>
      </c>
      <c r="Q59">
        <v>2</v>
      </c>
    </row>
    <row r="60" spans="15:17" x14ac:dyDescent="0.35">
      <c r="O60">
        <v>52</v>
      </c>
      <c r="P60">
        <v>10</v>
      </c>
      <c r="Q60">
        <v>2</v>
      </c>
    </row>
    <row r="61" spans="15:17" x14ac:dyDescent="0.35">
      <c r="O61">
        <v>53</v>
      </c>
      <c r="P61">
        <v>8</v>
      </c>
      <c r="Q61">
        <v>2</v>
      </c>
    </row>
    <row r="62" spans="15:17" x14ac:dyDescent="0.35">
      <c r="O62">
        <v>54</v>
      </c>
      <c r="P62">
        <v>8</v>
      </c>
      <c r="Q62">
        <v>1</v>
      </c>
    </row>
    <row r="63" spans="15:17" x14ac:dyDescent="0.35">
      <c r="O63">
        <v>55</v>
      </c>
      <c r="P63">
        <v>8</v>
      </c>
      <c r="Q63">
        <v>2</v>
      </c>
    </row>
    <row r="64" spans="15:17" x14ac:dyDescent="0.35">
      <c r="O64">
        <v>56</v>
      </c>
      <c r="P64">
        <v>3</v>
      </c>
      <c r="Q64">
        <v>0</v>
      </c>
    </row>
    <row r="65" spans="15:17" x14ac:dyDescent="0.35">
      <c r="O65">
        <v>62</v>
      </c>
      <c r="P65">
        <v>0</v>
      </c>
      <c r="Q65">
        <v>0</v>
      </c>
    </row>
    <row r="66" spans="15:17" x14ac:dyDescent="0.35">
      <c r="O66">
        <v>63</v>
      </c>
      <c r="P66">
        <v>0</v>
      </c>
      <c r="Q66">
        <v>0</v>
      </c>
    </row>
    <row r="67" spans="15:17" x14ac:dyDescent="0.35">
      <c r="O67">
        <v>64</v>
      </c>
      <c r="P67">
        <v>0</v>
      </c>
      <c r="Q67">
        <v>0</v>
      </c>
    </row>
  </sheetData>
  <autoFilter ref="O3:Q67" xr:uid="{353E530E-FFB3-470D-8684-48F60454C14A}"/>
  <conditionalFormatting sqref="L15">
    <cfRule type="cellIs" dxfId="1" priority="2" operator="lessThan">
      <formula>0</formula>
    </cfRule>
  </conditionalFormatting>
  <conditionalFormatting sqref="K5:K28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tabColor theme="8" tint="0.39997558519241921"/>
  </sheetPr>
  <dimension ref="A1:W16"/>
  <sheetViews>
    <sheetView zoomScale="110" zoomScaleNormal="110" workbookViewId="0">
      <pane xSplit="3" ySplit="1" topLeftCell="T2" activePane="bottomRight" state="frozen"/>
      <selection activeCell="A45" sqref="A45"/>
      <selection pane="topRight" activeCell="A45" sqref="A45"/>
      <selection pane="bottomLeft" activeCell="A45" sqref="A45"/>
      <selection pane="bottomRight" activeCell="W2" sqref="W2"/>
    </sheetView>
  </sheetViews>
  <sheetFormatPr baseColWidth="10" defaultColWidth="9.1796875" defaultRowHeight="15.5" x14ac:dyDescent="0.35"/>
  <cols>
    <col min="1" max="1" width="12" style="122" customWidth="1"/>
    <col min="2" max="2" width="15.7265625" style="49" customWidth="1"/>
    <col min="3" max="3" width="19.26953125" style="49" customWidth="1"/>
    <col min="4" max="4" width="18.7265625" style="4" customWidth="1"/>
    <col min="5" max="5" width="7.81640625" style="5" customWidth="1"/>
    <col min="6" max="6" width="14.26953125" style="3" customWidth="1"/>
    <col min="7" max="7" width="12.26953125" style="3" customWidth="1"/>
    <col min="8" max="8" width="27.54296875" style="2" customWidth="1"/>
    <col min="9" max="9" width="13.453125" style="2" customWidth="1"/>
    <col min="10" max="10" width="15.453125" style="2" customWidth="1"/>
    <col min="11" max="11" width="23.26953125" style="2" customWidth="1"/>
    <col min="12" max="12" width="14.7265625" style="2" customWidth="1"/>
    <col min="13" max="13" width="10.81640625" style="6" customWidth="1"/>
    <col min="14" max="14" width="9.1796875" style="44" customWidth="1"/>
    <col min="15" max="15" width="17.26953125" style="44" bestFit="1" customWidth="1"/>
    <col min="16" max="16" width="19.1796875" style="351" bestFit="1" customWidth="1"/>
    <col min="17" max="17" width="11.1796875" style="6" customWidth="1"/>
    <col min="18" max="18" width="14" style="6" customWidth="1"/>
    <col min="19" max="19" width="14" style="7" customWidth="1"/>
    <col min="20" max="20" width="30.1796875" style="1" customWidth="1"/>
    <col min="21" max="21" width="14.54296875" style="1" bestFit="1" customWidth="1"/>
    <col min="22" max="22" width="19.7265625" style="1" bestFit="1" customWidth="1"/>
    <col min="23" max="23" width="22.08984375" style="1" bestFit="1" customWidth="1"/>
    <col min="24" max="16384" width="9.1796875" style="1"/>
  </cols>
  <sheetData>
    <row r="1" spans="1:23" x14ac:dyDescent="0.35">
      <c r="A1" s="121" t="s">
        <v>30</v>
      </c>
      <c r="B1" s="53" t="s">
        <v>37</v>
      </c>
      <c r="C1" s="48" t="s">
        <v>38</v>
      </c>
      <c r="D1" s="9" t="s">
        <v>33</v>
      </c>
      <c r="E1" s="10" t="s">
        <v>42</v>
      </c>
      <c r="F1" s="11" t="s">
        <v>24</v>
      </c>
      <c r="G1" s="11" t="s">
        <v>34</v>
      </c>
      <c r="H1" s="8" t="s">
        <v>35</v>
      </c>
      <c r="I1" s="8" t="s">
        <v>36</v>
      </c>
      <c r="J1" s="8" t="s">
        <v>69</v>
      </c>
      <c r="K1" s="8" t="s">
        <v>0</v>
      </c>
      <c r="L1" s="8" t="s">
        <v>47</v>
      </c>
      <c r="M1" s="12" t="s">
        <v>25</v>
      </c>
      <c r="N1" s="45" t="s">
        <v>45</v>
      </c>
      <c r="O1" s="45" t="s">
        <v>226</v>
      </c>
      <c r="P1" s="349" t="s">
        <v>227</v>
      </c>
      <c r="Q1" s="12" t="s">
        <v>46</v>
      </c>
      <c r="R1" s="12" t="s">
        <v>32</v>
      </c>
      <c r="S1" s="12" t="s">
        <v>26</v>
      </c>
      <c r="T1" s="12" t="s">
        <v>228</v>
      </c>
      <c r="U1" s="12" t="s">
        <v>204</v>
      </c>
      <c r="V1" s="12" t="s">
        <v>229</v>
      </c>
      <c r="W1" s="12" t="s">
        <v>230</v>
      </c>
    </row>
    <row r="2" spans="1:23" x14ac:dyDescent="0.35">
      <c r="A2" s="373"/>
      <c r="C2" s="50"/>
      <c r="D2" s="21"/>
      <c r="E2" s="22"/>
      <c r="G2" s="17"/>
      <c r="H2" s="23"/>
      <c r="I2" s="23"/>
      <c r="J2" s="23"/>
      <c r="M2" s="18"/>
      <c r="N2" s="46"/>
      <c r="O2" s="348">
        <f t="shared" ref="O2" si="0">M2-(M2*N2)</f>
        <v>0</v>
      </c>
      <c r="P2" s="350"/>
      <c r="Q2" s="18">
        <f>Liste_globale[[#This Row],[Cotisation annuelle]]+Liste_globale[[#This Row],[Cotisation Ecole d''été]]</f>
        <v>0</v>
      </c>
      <c r="R2" s="18">
        <f>SUMIF('Liste carnet encaiss'!E:E,Liste_globale[[#This Row],[Matricule]],'Liste carnet encaiss'!H:H)</f>
        <v>0</v>
      </c>
      <c r="S2" s="18">
        <f>Q2-R2</f>
        <v>0</v>
      </c>
      <c r="W2" s="17">
        <f>Liste_globale[[#This Row],[Cotisation Ecole d''été]]-Liste_globale[[#This Row],[Paiement Ecole d''éte]]</f>
        <v>0</v>
      </c>
    </row>
    <row r="3" spans="1:23" x14ac:dyDescent="0.35">
      <c r="A3" s="373"/>
      <c r="C3" s="50"/>
      <c r="D3" s="21"/>
      <c r="E3" s="22"/>
      <c r="G3" s="17"/>
      <c r="H3" s="23"/>
      <c r="I3" s="23"/>
      <c r="J3" s="23"/>
      <c r="M3" s="18"/>
      <c r="N3" s="46"/>
      <c r="O3" s="348">
        <f t="shared" ref="O3" si="1">M3-(M3*N3)</f>
        <v>0</v>
      </c>
      <c r="P3" s="350"/>
      <c r="Q3" s="18">
        <f>Liste_globale[[#This Row],[Cotisation annuelle]]+Liste_globale[[#This Row],[Cotisation Ecole d''été]]</f>
        <v>0</v>
      </c>
      <c r="R3" s="18">
        <f>SUMIF('Liste carnet encaiss'!E:E,Liste_globale[[#This Row],[Matricule]],'Liste carnet encaiss'!H:H)</f>
        <v>0</v>
      </c>
      <c r="S3" s="18">
        <f>Q3-R3</f>
        <v>0</v>
      </c>
      <c r="V3" s="1">
        <f>SUMIFS('Liste carnet encaiss'!H:H,'Liste carnet encaiss'!D:D,"Ecole d'été",'Liste carnet encaiss'!E:E,Liste_globale[[#This Row],[Matricule]])</f>
        <v>0</v>
      </c>
      <c r="W3" s="17">
        <f>Liste_globale[[#This Row],[Cotisation Ecole d''été]]-Liste_globale[[#This Row],[Paiement Ecole d''éte]]</f>
        <v>0</v>
      </c>
    </row>
    <row r="4" spans="1:23" x14ac:dyDescent="0.35">
      <c r="A4" s="373"/>
      <c r="C4" s="50"/>
      <c r="D4" s="21"/>
      <c r="E4" s="22"/>
      <c r="G4" s="17"/>
      <c r="H4" s="23"/>
      <c r="I4" s="23"/>
      <c r="J4" s="23"/>
      <c r="M4" s="18"/>
      <c r="N4" s="46"/>
      <c r="O4" s="348">
        <f t="shared" ref="O4" si="2">M4-(M4*N4)</f>
        <v>0</v>
      </c>
      <c r="P4" s="350"/>
      <c r="Q4" s="18">
        <f>Liste_globale[[#This Row],[Cotisation annuelle]]+Liste_globale[[#This Row],[Cotisation Ecole d''été]]</f>
        <v>0</v>
      </c>
      <c r="R4" s="18">
        <f>SUMIF('Liste carnet encaiss'!E:E,Liste_globale[[#This Row],[Matricule]],'Liste carnet encaiss'!H:H)</f>
        <v>0</v>
      </c>
      <c r="S4" s="18">
        <f t="shared" ref="S4:S6" si="3">Q4-R4</f>
        <v>0</v>
      </c>
      <c r="V4" s="1">
        <f>SUMIFS('Liste carnet encaiss'!H:H,'Liste carnet encaiss'!D:D,"Ecole d'été",'Liste carnet encaiss'!E:E,Liste_globale[[#This Row],[Matricule]])</f>
        <v>0</v>
      </c>
      <c r="W4" s="17">
        <f>Liste_globale[[#This Row],[Cotisation Ecole d''été]]-Liste_globale[[#This Row],[Paiement Ecole d''éte]]</f>
        <v>0</v>
      </c>
    </row>
    <row r="5" spans="1:23" x14ac:dyDescent="0.35">
      <c r="A5" s="373"/>
      <c r="C5" s="50"/>
      <c r="D5" s="21"/>
      <c r="E5" s="22"/>
      <c r="G5" s="17"/>
      <c r="H5" s="23"/>
      <c r="I5" s="23"/>
      <c r="J5" s="23"/>
      <c r="M5" s="18"/>
      <c r="N5" s="46"/>
      <c r="O5" s="348">
        <f t="shared" ref="O5" si="4">M5-(M5*N5)</f>
        <v>0</v>
      </c>
      <c r="P5" s="350"/>
      <c r="Q5" s="18">
        <f>Liste_globale[[#This Row],[Cotisation annuelle]]+Liste_globale[[#This Row],[Cotisation Ecole d''été]]</f>
        <v>0</v>
      </c>
      <c r="R5" s="18">
        <f>SUMIF('Liste carnet encaiss'!E:E,Liste_globale[[#This Row],[Matricule]],'Liste carnet encaiss'!H:H)</f>
        <v>0</v>
      </c>
      <c r="S5" s="18">
        <f t="shared" si="3"/>
        <v>0</v>
      </c>
      <c r="V5" s="1">
        <f>SUMIFS('Liste carnet encaiss'!H:H,'Liste carnet encaiss'!D:D,"Ecole d'été",'Liste carnet encaiss'!E:E,Liste_globale[[#This Row],[Matricule]])</f>
        <v>0</v>
      </c>
      <c r="W5" s="17">
        <f>Liste_globale[[#This Row],[Cotisation Ecole d''été]]-Liste_globale[[#This Row],[Paiement Ecole d''éte]]</f>
        <v>0</v>
      </c>
    </row>
    <row r="6" spans="1:23" x14ac:dyDescent="0.35">
      <c r="A6" s="373"/>
      <c r="C6" s="50"/>
      <c r="D6" s="21"/>
      <c r="E6" s="22"/>
      <c r="G6" s="17"/>
      <c r="H6" s="23"/>
      <c r="I6" s="23"/>
      <c r="J6" s="23"/>
      <c r="M6" s="18"/>
      <c r="N6" s="46"/>
      <c r="O6" s="348">
        <f t="shared" ref="O6" si="5">M6-(M6*N6)</f>
        <v>0</v>
      </c>
      <c r="P6" s="350"/>
      <c r="Q6" s="18">
        <f>Liste_globale[[#This Row],[Cotisation annuelle]]+Liste_globale[[#This Row],[Cotisation Ecole d''été]]</f>
        <v>0</v>
      </c>
      <c r="R6" s="18">
        <f>SUMIF('Liste carnet encaiss'!E:E,Liste_globale[[#This Row],[Matricule]],'Liste carnet encaiss'!H:H)</f>
        <v>0</v>
      </c>
      <c r="S6" s="18">
        <f t="shared" si="3"/>
        <v>0</v>
      </c>
      <c r="V6" s="1">
        <f>SUMIFS('Liste carnet encaiss'!H:H,'Liste carnet encaiss'!D:D,"Ecole d'été",'Liste carnet encaiss'!E:E,Liste_globale[[#This Row],[Matricule]])</f>
        <v>0</v>
      </c>
      <c r="W6" s="17">
        <f>Liste_globale[[#This Row],[Cotisation Ecole d''été]]-Liste_globale[[#This Row],[Paiement Ecole d''éte]]</f>
        <v>0</v>
      </c>
    </row>
    <row r="7" spans="1:23" x14ac:dyDescent="0.35">
      <c r="B7" s="55"/>
    </row>
    <row r="8" spans="1:23" x14ac:dyDescent="0.35">
      <c r="B8" s="55"/>
    </row>
    <row r="9" spans="1:23" x14ac:dyDescent="0.35">
      <c r="B9" s="55"/>
    </row>
    <row r="10" spans="1:23" x14ac:dyDescent="0.35">
      <c r="B10" s="55"/>
    </row>
    <row r="11" spans="1:23" x14ac:dyDescent="0.35">
      <c r="B11" s="55"/>
    </row>
    <row r="12" spans="1:23" x14ac:dyDescent="0.35">
      <c r="B12" s="55"/>
    </row>
    <row r="13" spans="1:23" x14ac:dyDescent="0.35">
      <c r="B13" s="55"/>
    </row>
    <row r="14" spans="1:23" x14ac:dyDescent="0.35">
      <c r="B14" s="55"/>
    </row>
    <row r="15" spans="1:23" x14ac:dyDescent="0.35">
      <c r="B15" s="55"/>
    </row>
    <row r="16" spans="1:23" x14ac:dyDescent="0.35">
      <c r="B16" s="55"/>
    </row>
  </sheetData>
  <sortState xmlns:xlrd2="http://schemas.microsoft.com/office/spreadsheetml/2017/richdata2" ref="A7:S17">
    <sortCondition ref="J7:J17"/>
    <sortCondition ref="S7:S17"/>
  </sortState>
  <dataConsolidate/>
  <phoneticPr fontId="1" type="noConversion"/>
  <dataValidations count="1">
    <dataValidation type="date" allowBlank="1" showInputMessage="1" showErrorMessage="1" sqref="D1:D1048576" xr:uid="{2FA5825F-DCA7-4743-AB09-5360588E76A3}">
      <formula1>1</formula1>
      <formula2>45291</formula2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ABA9D-3E88-46AB-9642-6229D425822A}">
  <sheetPr codeName="Feuil12">
    <tabColor theme="1"/>
    <pageSetUpPr fitToPage="1"/>
  </sheetPr>
  <dimension ref="A1:M6"/>
  <sheetViews>
    <sheetView zoomScaleNormal="100" workbookViewId="0">
      <pane ySplit="1" topLeftCell="A2" activePane="bottomLeft" state="frozen"/>
      <selection activeCell="A45" sqref="A45"/>
      <selection pane="bottomLeft" activeCell="A4" sqref="A4"/>
    </sheetView>
  </sheetViews>
  <sheetFormatPr baseColWidth="10" defaultColWidth="11.54296875" defaultRowHeight="14" x14ac:dyDescent="0.3"/>
  <cols>
    <col min="1" max="1" width="7.7265625" style="239" customWidth="1"/>
    <col min="2" max="2" width="8.7265625" style="239" customWidth="1"/>
    <col min="3" max="3" width="17.26953125" style="238" customWidth="1"/>
    <col min="4" max="4" width="43.1796875" style="235" customWidth="1"/>
    <col min="5" max="5" width="15.1796875" style="235" customWidth="1"/>
    <col min="6" max="6" width="30.26953125" style="235" customWidth="1"/>
    <col min="7" max="7" width="31.26953125" style="235" customWidth="1"/>
    <col min="8" max="8" width="18.54296875" style="236" customWidth="1"/>
    <col min="9" max="9" width="20" style="235" customWidth="1"/>
    <col min="10" max="10" width="18.26953125" style="235" customWidth="1"/>
    <col min="11" max="11" width="19.7265625" style="236" customWidth="1"/>
    <col min="12" max="12" width="25.7265625" style="237" customWidth="1"/>
    <col min="13" max="16384" width="11.54296875" style="235"/>
  </cols>
  <sheetData>
    <row r="1" spans="1:13" ht="28.9" customHeight="1" x14ac:dyDescent="0.3">
      <c r="A1" s="232" t="s">
        <v>74</v>
      </c>
      <c r="B1" s="232" t="s">
        <v>182</v>
      </c>
      <c r="C1" s="233" t="s">
        <v>166</v>
      </c>
      <c r="D1" s="232" t="s">
        <v>183</v>
      </c>
      <c r="E1" s="232" t="s">
        <v>30</v>
      </c>
      <c r="F1" s="232" t="s">
        <v>37</v>
      </c>
      <c r="G1" s="232" t="s">
        <v>38</v>
      </c>
      <c r="H1" s="234" t="s">
        <v>184</v>
      </c>
      <c r="I1" s="232" t="s">
        <v>185</v>
      </c>
      <c r="J1" s="232" t="s">
        <v>186</v>
      </c>
      <c r="K1" s="234" t="s">
        <v>187</v>
      </c>
      <c r="L1" s="233" t="s">
        <v>188</v>
      </c>
      <c r="M1" s="235" t="s">
        <v>200</v>
      </c>
    </row>
    <row r="2" spans="1:13" ht="20.149999999999999" customHeight="1" x14ac:dyDescent="0.3">
      <c r="A2" s="320">
        <f t="shared" ref="A2:A6" si="0">ROUNDUP(B2/50,0)</f>
        <v>0</v>
      </c>
      <c r="B2" s="316"/>
      <c r="C2" s="317"/>
      <c r="D2" s="318"/>
      <c r="E2" s="372"/>
      <c r="F2" s="318"/>
      <c r="G2" s="318"/>
      <c r="H2" s="319"/>
      <c r="I2" s="318"/>
      <c r="J2" s="318"/>
      <c r="K2" s="319"/>
      <c r="L2" s="317"/>
      <c r="M2" s="327"/>
    </row>
    <row r="3" spans="1:13" ht="20.149999999999999" customHeight="1" x14ac:dyDescent="0.3">
      <c r="A3" s="320">
        <f t="shared" si="0"/>
        <v>0</v>
      </c>
      <c r="B3" s="316"/>
      <c r="C3" s="317"/>
      <c r="D3" s="318"/>
      <c r="E3" s="372"/>
      <c r="F3" s="318"/>
      <c r="G3" s="318"/>
      <c r="H3" s="319"/>
      <c r="I3" s="318"/>
      <c r="J3" s="318"/>
      <c r="K3" s="319"/>
      <c r="L3" s="317"/>
      <c r="M3" s="327"/>
    </row>
    <row r="4" spans="1:13" ht="20.149999999999999" customHeight="1" x14ac:dyDescent="0.3">
      <c r="A4" s="316">
        <f t="shared" si="0"/>
        <v>0</v>
      </c>
      <c r="B4" s="316"/>
      <c r="C4" s="317"/>
      <c r="D4" s="318"/>
      <c r="E4" s="372"/>
      <c r="F4" s="318"/>
      <c r="G4" s="318"/>
      <c r="H4" s="319"/>
      <c r="I4" s="318"/>
      <c r="J4" s="318"/>
      <c r="K4" s="319"/>
      <c r="L4" s="317"/>
      <c r="M4" s="327"/>
    </row>
    <row r="5" spans="1:13" ht="20.149999999999999" customHeight="1" x14ac:dyDescent="0.3">
      <c r="A5" s="316">
        <f t="shared" si="0"/>
        <v>0</v>
      </c>
      <c r="B5" s="316"/>
      <c r="C5" s="317"/>
      <c r="D5" s="318"/>
      <c r="E5" s="372"/>
      <c r="F5" s="318"/>
      <c r="G5" s="318"/>
      <c r="H5" s="319"/>
      <c r="I5" s="318"/>
      <c r="J5" s="318"/>
      <c r="K5" s="319"/>
      <c r="L5" s="317"/>
      <c r="M5" s="327"/>
    </row>
    <row r="6" spans="1:13" ht="20.149999999999999" customHeight="1" x14ac:dyDescent="0.3">
      <c r="A6" s="316">
        <f t="shared" si="0"/>
        <v>0</v>
      </c>
      <c r="B6" s="316"/>
      <c r="C6" s="317"/>
      <c r="D6" s="318"/>
      <c r="E6" s="372"/>
      <c r="F6" s="318"/>
      <c r="G6" s="318"/>
      <c r="H6" s="319"/>
      <c r="I6" s="318"/>
      <c r="J6" s="318"/>
      <c r="K6" s="319"/>
      <c r="L6" s="317"/>
      <c r="M6" s="327"/>
    </row>
  </sheetData>
  <dataValidations disablePrompts="1" count="1">
    <dataValidation type="list" allowBlank="1" showInputMessage="1" showErrorMessage="1" sqref="D7:D1048576" xr:uid="{5D8E34AE-61DF-433E-B469-20CB8837276D}">
      <formula1>#REF!</formula1>
    </dataValidation>
  </dataValidations>
  <pageMargins left="0.70866141732283472" right="0.70866141732283472" top="0.74803149606299213" bottom="0.74803149606299213" header="0.31496062992125984" footer="0.31496062992125984"/>
  <pageSetup paperSize="9" scale="10" orientation="portrait" horizontalDpi="4294967293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73B44-D3E7-4AFE-BF07-377525908E45}">
  <sheetPr codeName="Feuil13"/>
  <dimension ref="A1:G13"/>
  <sheetViews>
    <sheetView workbookViewId="0">
      <selection activeCell="G8" sqref="G8"/>
    </sheetView>
  </sheetViews>
  <sheetFormatPr baseColWidth="10" defaultRowHeight="14.5" x14ac:dyDescent="0.35"/>
  <cols>
    <col min="1" max="1" width="23.26953125" customWidth="1"/>
    <col min="3" max="3" width="15.81640625" bestFit="1" customWidth="1"/>
  </cols>
  <sheetData>
    <row r="1" spans="1:7" x14ac:dyDescent="0.35">
      <c r="A1" s="232" t="s">
        <v>183</v>
      </c>
      <c r="C1" s="286" t="s">
        <v>185</v>
      </c>
      <c r="E1" s="232" t="s">
        <v>183</v>
      </c>
      <c r="G1" s="232" t="s">
        <v>183</v>
      </c>
    </row>
    <row r="2" spans="1:7" x14ac:dyDescent="0.35">
      <c r="A2" s="240" t="s">
        <v>191</v>
      </c>
      <c r="C2" s="240" t="s">
        <v>190</v>
      </c>
      <c r="E2" s="240" t="s">
        <v>191</v>
      </c>
      <c r="G2" s="240" t="s">
        <v>196</v>
      </c>
    </row>
    <row r="3" spans="1:7" x14ac:dyDescent="0.35">
      <c r="A3" s="240" t="s">
        <v>189</v>
      </c>
      <c r="C3" s="240" t="s">
        <v>192</v>
      </c>
      <c r="E3" s="240" t="s">
        <v>189</v>
      </c>
      <c r="G3" s="240" t="s">
        <v>25</v>
      </c>
    </row>
    <row r="4" spans="1:7" x14ac:dyDescent="0.35">
      <c r="A4" s="240" t="s">
        <v>40</v>
      </c>
      <c r="C4" s="240" t="s">
        <v>208</v>
      </c>
      <c r="E4" s="240" t="s">
        <v>40</v>
      </c>
      <c r="G4" s="240" t="s">
        <v>197</v>
      </c>
    </row>
    <row r="5" spans="1:7" x14ac:dyDescent="0.35">
      <c r="A5" s="240" t="s">
        <v>196</v>
      </c>
      <c r="E5" s="240" t="s">
        <v>225</v>
      </c>
      <c r="G5" s="240" t="s">
        <v>195</v>
      </c>
    </row>
    <row r="6" spans="1:7" x14ac:dyDescent="0.35">
      <c r="A6" s="240" t="s">
        <v>198</v>
      </c>
      <c r="G6" s="240" t="s">
        <v>193</v>
      </c>
    </row>
    <row r="7" spans="1:7" x14ac:dyDescent="0.35">
      <c r="A7" s="240" t="s">
        <v>25</v>
      </c>
      <c r="G7" s="240" t="s">
        <v>199</v>
      </c>
    </row>
    <row r="8" spans="1:7" x14ac:dyDescent="0.35">
      <c r="A8" s="240" t="s">
        <v>197</v>
      </c>
      <c r="G8" s="240" t="s">
        <v>198</v>
      </c>
    </row>
    <row r="9" spans="1:7" x14ac:dyDescent="0.35">
      <c r="A9" s="240" t="s">
        <v>195</v>
      </c>
      <c r="G9" s="240" t="s">
        <v>194</v>
      </c>
    </row>
    <row r="10" spans="1:7" x14ac:dyDescent="0.35">
      <c r="A10" s="240" t="s">
        <v>193</v>
      </c>
    </row>
    <row r="11" spans="1:7" x14ac:dyDescent="0.35">
      <c r="A11" s="240" t="s">
        <v>194</v>
      </c>
    </row>
    <row r="12" spans="1:7" x14ac:dyDescent="0.35">
      <c r="A12" s="240" t="s">
        <v>199</v>
      </c>
    </row>
    <row r="13" spans="1:7" x14ac:dyDescent="0.35">
      <c r="A13" s="240" t="s">
        <v>225</v>
      </c>
    </row>
  </sheetData>
  <protectedRanges>
    <protectedRange sqref="C2:C3" name="Plage1"/>
  </protectedRanges>
  <dataValidations count="1">
    <dataValidation type="list" allowBlank="1" showInputMessage="1" showErrorMessage="1" sqref="C2:C3" xr:uid="{9ED79774-2EDC-48BB-8635-B4EC4E91AEAC}">
      <formula1>#REF!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1B5BE-12F0-4BF5-862C-68946262C2DA}">
  <sheetPr codeName="Feuil3"/>
  <dimension ref="A1:E29"/>
  <sheetViews>
    <sheetView workbookViewId="0">
      <selection activeCell="E15" sqref="E15"/>
    </sheetView>
  </sheetViews>
  <sheetFormatPr baseColWidth="10" defaultRowHeight="14.5" x14ac:dyDescent="0.35"/>
  <cols>
    <col min="1" max="1" width="12.81640625" bestFit="1" customWidth="1"/>
    <col min="3" max="3" width="11.453125" style="58"/>
    <col min="4" max="4" width="15.1796875" bestFit="1" customWidth="1"/>
    <col min="5" max="5" width="33" customWidth="1"/>
  </cols>
  <sheetData>
    <row r="1" spans="1:5" x14ac:dyDescent="0.35">
      <c r="A1" s="59" t="s">
        <v>50</v>
      </c>
      <c r="B1" s="59" t="s">
        <v>51</v>
      </c>
      <c r="C1" s="60" t="s">
        <v>0</v>
      </c>
      <c r="D1" s="59" t="s">
        <v>47</v>
      </c>
      <c r="E1" s="59"/>
    </row>
    <row r="2" spans="1:5" x14ac:dyDescent="0.35">
      <c r="A2" s="59" t="s">
        <v>28</v>
      </c>
      <c r="B2" s="59" t="s">
        <v>52</v>
      </c>
      <c r="C2" s="60">
        <v>3</v>
      </c>
      <c r="D2" s="59" t="s">
        <v>1</v>
      </c>
      <c r="E2" s="59"/>
    </row>
    <row r="3" spans="1:5" x14ac:dyDescent="0.35">
      <c r="A3" s="59" t="s">
        <v>106</v>
      </c>
      <c r="B3" s="59" t="s">
        <v>7</v>
      </c>
      <c r="C3" s="60">
        <v>3</v>
      </c>
      <c r="D3" s="59" t="s">
        <v>1</v>
      </c>
      <c r="E3" s="59"/>
    </row>
    <row r="4" spans="1:5" x14ac:dyDescent="0.35">
      <c r="A4" s="59" t="s">
        <v>106</v>
      </c>
      <c r="B4" s="59" t="s">
        <v>15</v>
      </c>
      <c r="C4" s="60">
        <v>4</v>
      </c>
      <c r="D4" s="59" t="s">
        <v>1</v>
      </c>
      <c r="E4" s="59"/>
    </row>
    <row r="5" spans="1:5" x14ac:dyDescent="0.35">
      <c r="A5" s="59" t="s">
        <v>54</v>
      </c>
      <c r="B5" s="59" t="s">
        <v>4</v>
      </c>
      <c r="C5" s="60">
        <v>5</v>
      </c>
      <c r="D5" s="59" t="s">
        <v>1</v>
      </c>
      <c r="E5" s="59"/>
    </row>
    <row r="6" spans="1:5" x14ac:dyDescent="0.35">
      <c r="A6" s="59" t="s">
        <v>55</v>
      </c>
      <c r="B6" s="59" t="s">
        <v>18</v>
      </c>
      <c r="C6" s="60">
        <v>5</v>
      </c>
      <c r="D6" s="59" t="s">
        <v>1</v>
      </c>
      <c r="E6" s="59"/>
    </row>
    <row r="7" spans="1:5" x14ac:dyDescent="0.35">
      <c r="A7" s="59" t="s">
        <v>23</v>
      </c>
      <c r="B7" s="59" t="s">
        <v>4</v>
      </c>
      <c r="C7" s="60">
        <v>5</v>
      </c>
      <c r="D7" s="59" t="s">
        <v>1</v>
      </c>
      <c r="E7" s="59"/>
    </row>
    <row r="8" spans="1:5" x14ac:dyDescent="0.35">
      <c r="A8" s="59" t="s">
        <v>56</v>
      </c>
      <c r="B8" s="59" t="s">
        <v>57</v>
      </c>
      <c r="C8" s="60">
        <v>6</v>
      </c>
      <c r="D8" s="59" t="s">
        <v>53</v>
      </c>
      <c r="E8" s="59"/>
    </row>
    <row r="9" spans="1:5" x14ac:dyDescent="0.35">
      <c r="A9" s="59" t="s">
        <v>58</v>
      </c>
      <c r="B9" s="59" t="s">
        <v>59</v>
      </c>
      <c r="C9" s="60">
        <v>6</v>
      </c>
      <c r="D9" s="59" t="s">
        <v>53</v>
      </c>
      <c r="E9" s="59"/>
    </row>
    <row r="10" spans="1:5" x14ac:dyDescent="0.35">
      <c r="A10" s="59" t="s">
        <v>60</v>
      </c>
      <c r="B10" s="59" t="s">
        <v>16</v>
      </c>
      <c r="C10" s="60">
        <v>8</v>
      </c>
      <c r="D10" s="59" t="s">
        <v>2</v>
      </c>
      <c r="E10" s="59"/>
    </row>
    <row r="11" spans="1:5" x14ac:dyDescent="0.35">
      <c r="A11" s="59" t="s">
        <v>31</v>
      </c>
      <c r="B11" s="59" t="s">
        <v>17</v>
      </c>
      <c r="C11" s="60">
        <v>8</v>
      </c>
      <c r="D11" s="59" t="s">
        <v>2</v>
      </c>
      <c r="E11" s="59"/>
    </row>
    <row r="12" spans="1:5" x14ac:dyDescent="0.35">
      <c r="A12" s="59" t="s">
        <v>61</v>
      </c>
      <c r="B12" s="59" t="s">
        <v>22</v>
      </c>
      <c r="C12" s="60">
        <v>8</v>
      </c>
      <c r="D12" s="59" t="s">
        <v>2</v>
      </c>
      <c r="E12" s="59"/>
    </row>
    <row r="13" spans="1:5" x14ac:dyDescent="0.35">
      <c r="A13" s="59" t="s">
        <v>62</v>
      </c>
      <c r="B13" s="59" t="s">
        <v>10</v>
      </c>
      <c r="C13" s="60">
        <v>9</v>
      </c>
      <c r="D13" s="59" t="s">
        <v>2</v>
      </c>
      <c r="E13" s="59"/>
    </row>
    <row r="14" spans="1:5" x14ac:dyDescent="0.35">
      <c r="A14" s="59" t="s">
        <v>63</v>
      </c>
      <c r="B14" s="59" t="s">
        <v>3</v>
      </c>
      <c r="C14" s="60">
        <v>9</v>
      </c>
      <c r="D14" s="59" t="s">
        <v>2</v>
      </c>
      <c r="E14" s="59"/>
    </row>
    <row r="15" spans="1:5" x14ac:dyDescent="0.35">
      <c r="A15" s="59" t="s">
        <v>65</v>
      </c>
      <c r="B15" s="59" t="s">
        <v>5</v>
      </c>
      <c r="C15" s="60">
        <v>10</v>
      </c>
      <c r="D15" s="59" t="s">
        <v>64</v>
      </c>
      <c r="E15" s="59"/>
    </row>
    <row r="16" spans="1:5" x14ac:dyDescent="0.35">
      <c r="A16" s="59" t="s">
        <v>20</v>
      </c>
      <c r="B16" s="59" t="s">
        <v>8</v>
      </c>
      <c r="C16" s="60">
        <v>11</v>
      </c>
      <c r="D16" s="59" t="s">
        <v>64</v>
      </c>
      <c r="E16" s="59"/>
    </row>
    <row r="17" spans="1:5" x14ac:dyDescent="0.35">
      <c r="A17" s="59" t="s">
        <v>19</v>
      </c>
      <c r="B17" s="59" t="s">
        <v>6</v>
      </c>
      <c r="C17" s="60">
        <v>11</v>
      </c>
      <c r="D17" s="59" t="s">
        <v>64</v>
      </c>
      <c r="E17" s="59"/>
    </row>
    <row r="18" spans="1:5" x14ac:dyDescent="0.35">
      <c r="A18" s="59" t="s">
        <v>106</v>
      </c>
      <c r="B18" s="59" t="s">
        <v>66</v>
      </c>
      <c r="C18" s="60">
        <v>13</v>
      </c>
      <c r="D18" s="59" t="s">
        <v>2</v>
      </c>
      <c r="E18" s="59"/>
    </row>
    <row r="19" spans="1:5" x14ac:dyDescent="0.35">
      <c r="A19" s="59"/>
      <c r="B19" s="59"/>
      <c r="C19" s="60"/>
      <c r="D19" s="59"/>
      <c r="E19" s="59"/>
    </row>
    <row r="20" spans="1:5" x14ac:dyDescent="0.35">
      <c r="A20" s="59" t="s">
        <v>106</v>
      </c>
      <c r="B20" s="59" t="s">
        <v>67</v>
      </c>
      <c r="C20" s="60">
        <v>15</v>
      </c>
      <c r="D20" s="59" t="s">
        <v>48</v>
      </c>
      <c r="E20" s="59"/>
    </row>
    <row r="21" spans="1:5" x14ac:dyDescent="0.35">
      <c r="A21" s="59" t="s">
        <v>106</v>
      </c>
      <c r="B21" s="59" t="s">
        <v>70</v>
      </c>
      <c r="C21" s="60">
        <v>16</v>
      </c>
      <c r="D21" s="59" t="s">
        <v>68</v>
      </c>
      <c r="E21" s="59"/>
    </row>
    <row r="22" spans="1:5" x14ac:dyDescent="0.35">
      <c r="A22" s="59" t="s">
        <v>14</v>
      </c>
      <c r="B22" s="59" t="s">
        <v>71</v>
      </c>
      <c r="C22" s="60">
        <v>16</v>
      </c>
      <c r="D22" s="59" t="s">
        <v>48</v>
      </c>
      <c r="E22" s="59" t="s">
        <v>72</v>
      </c>
    </row>
    <row r="23" spans="1:5" x14ac:dyDescent="0.35">
      <c r="A23" s="59" t="s">
        <v>106</v>
      </c>
      <c r="B23" s="59" t="s">
        <v>73</v>
      </c>
      <c r="C23" s="60">
        <v>19</v>
      </c>
      <c r="D23" s="59" t="s">
        <v>48</v>
      </c>
      <c r="E23" s="59"/>
    </row>
    <row r="24" spans="1:5" x14ac:dyDescent="0.35">
      <c r="A24" s="59" t="s">
        <v>106</v>
      </c>
      <c r="B24" s="59" t="s">
        <v>27</v>
      </c>
      <c r="C24" s="60">
        <v>20</v>
      </c>
      <c r="D24" s="59" t="s">
        <v>48</v>
      </c>
      <c r="E24" s="59"/>
    </row>
    <row r="25" spans="1:5" x14ac:dyDescent="0.35">
      <c r="A25" s="59" t="s">
        <v>106</v>
      </c>
      <c r="B25" s="59" t="s">
        <v>8</v>
      </c>
      <c r="C25" s="60">
        <v>21</v>
      </c>
      <c r="D25" s="59" t="s">
        <v>48</v>
      </c>
      <c r="E25" s="59"/>
    </row>
    <row r="26" spans="1:5" x14ac:dyDescent="0.35">
      <c r="A26" s="61" t="s">
        <v>9</v>
      </c>
      <c r="B26" s="61" t="s">
        <v>21</v>
      </c>
      <c r="C26" s="60">
        <v>24</v>
      </c>
      <c r="D26" s="59" t="s">
        <v>49</v>
      </c>
      <c r="E26" s="59" t="s">
        <v>72</v>
      </c>
    </row>
    <row r="27" spans="1:5" x14ac:dyDescent="0.35">
      <c r="A27" s="59" t="s">
        <v>83</v>
      </c>
      <c r="B27" s="59" t="s">
        <v>10</v>
      </c>
      <c r="C27" s="60">
        <v>58</v>
      </c>
      <c r="D27" s="59" t="s">
        <v>82</v>
      </c>
      <c r="E27" s="59" t="s">
        <v>72</v>
      </c>
    </row>
    <row r="28" spans="1:5" x14ac:dyDescent="0.35">
      <c r="A28" s="59" t="s">
        <v>106</v>
      </c>
      <c r="B28" s="59" t="s">
        <v>13</v>
      </c>
      <c r="C28" s="60">
        <v>61</v>
      </c>
      <c r="D28" s="59" t="s">
        <v>85</v>
      </c>
      <c r="E28" s="59" t="s">
        <v>84</v>
      </c>
    </row>
    <row r="29" spans="1:5" x14ac:dyDescent="0.35">
      <c r="A29" s="59" t="s">
        <v>86</v>
      </c>
      <c r="B29" s="59" t="s">
        <v>11</v>
      </c>
      <c r="C29" s="60">
        <v>46</v>
      </c>
      <c r="D29" s="59" t="s">
        <v>12</v>
      </c>
      <c r="E29" s="59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9057F-642F-4809-93F0-1C41F0C52949}">
  <sheetPr codeName="Feuil4"/>
  <dimension ref="A1:G61"/>
  <sheetViews>
    <sheetView workbookViewId="0">
      <selection activeCell="E15" sqref="E15"/>
    </sheetView>
  </sheetViews>
  <sheetFormatPr baseColWidth="10" defaultColWidth="11.453125" defaultRowHeight="14.5" x14ac:dyDescent="0.35"/>
  <cols>
    <col min="1" max="1" width="11.453125" style="57"/>
    <col min="2" max="2" width="20" style="57" bestFit="1" customWidth="1"/>
    <col min="3" max="3" width="13.81640625" style="57" bestFit="1" customWidth="1"/>
    <col min="4" max="4" width="15.453125" style="57" bestFit="1" customWidth="1"/>
    <col min="5" max="5" width="14.81640625" style="57" bestFit="1" customWidth="1"/>
    <col min="6" max="6" width="16.26953125" style="57" bestFit="1" customWidth="1"/>
    <col min="7" max="7" width="15.81640625" style="57" bestFit="1" customWidth="1"/>
    <col min="8" max="16384" width="11.453125" style="57"/>
  </cols>
  <sheetData>
    <row r="1" spans="1:7" x14ac:dyDescent="0.35">
      <c r="A1" s="57" t="s">
        <v>0</v>
      </c>
      <c r="B1" s="57" t="s">
        <v>87</v>
      </c>
      <c r="C1" s="57" t="s">
        <v>88</v>
      </c>
      <c r="D1" s="57" t="s">
        <v>91</v>
      </c>
      <c r="E1" s="57" t="s">
        <v>89</v>
      </c>
      <c r="F1" s="57" t="s">
        <v>90</v>
      </c>
      <c r="G1" s="57" t="s">
        <v>92</v>
      </c>
    </row>
    <row r="2" spans="1:7" x14ac:dyDescent="0.35">
      <c r="A2" s="38">
        <v>1</v>
      </c>
      <c r="B2" s="38" t="s">
        <v>100</v>
      </c>
    </row>
    <row r="3" spans="1:7" x14ac:dyDescent="0.35">
      <c r="A3" s="2">
        <v>2</v>
      </c>
      <c r="B3" s="38" t="s">
        <v>100</v>
      </c>
    </row>
    <row r="4" spans="1:7" x14ac:dyDescent="0.35">
      <c r="A4" s="2">
        <v>3</v>
      </c>
      <c r="B4" s="38" t="s">
        <v>100</v>
      </c>
    </row>
    <row r="5" spans="1:7" x14ac:dyDescent="0.35">
      <c r="A5" s="2">
        <v>4</v>
      </c>
      <c r="B5" s="38" t="s">
        <v>100</v>
      </c>
    </row>
    <row r="6" spans="1:7" x14ac:dyDescent="0.35">
      <c r="A6" s="2">
        <v>5</v>
      </c>
      <c r="B6" s="38" t="s">
        <v>100</v>
      </c>
    </row>
    <row r="7" spans="1:7" x14ac:dyDescent="0.35">
      <c r="A7" s="2">
        <v>6</v>
      </c>
      <c r="B7" s="38" t="s">
        <v>100</v>
      </c>
    </row>
    <row r="8" spans="1:7" x14ac:dyDescent="0.35">
      <c r="A8" s="2">
        <v>7</v>
      </c>
      <c r="B8" s="38" t="s">
        <v>100</v>
      </c>
    </row>
    <row r="9" spans="1:7" x14ac:dyDescent="0.35">
      <c r="A9" s="2">
        <v>8</v>
      </c>
      <c r="B9" s="2" t="s">
        <v>97</v>
      </c>
    </row>
    <row r="10" spans="1:7" x14ac:dyDescent="0.35">
      <c r="A10" s="2">
        <v>9</v>
      </c>
      <c r="B10" s="38" t="s">
        <v>97</v>
      </c>
    </row>
    <row r="11" spans="1:7" x14ac:dyDescent="0.35">
      <c r="A11" s="2">
        <v>10</v>
      </c>
      <c r="B11" s="2" t="s">
        <v>97</v>
      </c>
      <c r="C11" s="57" t="s">
        <v>95</v>
      </c>
    </row>
    <row r="12" spans="1:7" x14ac:dyDescent="0.35">
      <c r="A12" s="2">
        <v>11</v>
      </c>
      <c r="B12" s="38" t="s">
        <v>97</v>
      </c>
      <c r="C12" s="57" t="s">
        <v>95</v>
      </c>
    </row>
    <row r="13" spans="1:7" x14ac:dyDescent="0.35">
      <c r="A13" s="2">
        <v>12</v>
      </c>
      <c r="B13" s="2" t="s">
        <v>97</v>
      </c>
      <c r="C13" s="57" t="s">
        <v>95</v>
      </c>
    </row>
    <row r="14" spans="1:7" x14ac:dyDescent="0.35">
      <c r="A14" s="2">
        <v>13</v>
      </c>
      <c r="B14" s="38" t="s">
        <v>97</v>
      </c>
    </row>
    <row r="15" spans="1:7" x14ac:dyDescent="0.35">
      <c r="A15" s="2">
        <v>15</v>
      </c>
      <c r="B15" s="2" t="s">
        <v>141</v>
      </c>
    </row>
    <row r="16" spans="1:7" x14ac:dyDescent="0.35">
      <c r="A16" s="2">
        <v>16</v>
      </c>
      <c r="B16" s="2" t="s">
        <v>141</v>
      </c>
    </row>
    <row r="17" spans="1:3" x14ac:dyDescent="0.35">
      <c r="A17" s="2">
        <v>17</v>
      </c>
      <c r="B17" s="2" t="s">
        <v>141</v>
      </c>
    </row>
    <row r="18" spans="1:3" x14ac:dyDescent="0.35">
      <c r="A18" s="2">
        <v>18</v>
      </c>
      <c r="B18" s="2" t="s">
        <v>141</v>
      </c>
    </row>
    <row r="19" spans="1:3" x14ac:dyDescent="0.35">
      <c r="A19" s="2">
        <v>19</v>
      </c>
      <c r="B19" s="2" t="s">
        <v>141</v>
      </c>
    </row>
    <row r="20" spans="1:3" x14ac:dyDescent="0.35">
      <c r="A20" s="2">
        <v>20</v>
      </c>
      <c r="B20" s="2" t="s">
        <v>141</v>
      </c>
    </row>
    <row r="21" spans="1:3" x14ac:dyDescent="0.35">
      <c r="A21" s="2">
        <v>21</v>
      </c>
      <c r="B21" s="2" t="s">
        <v>141</v>
      </c>
    </row>
    <row r="22" spans="1:3" x14ac:dyDescent="0.35">
      <c r="A22" s="23">
        <v>22</v>
      </c>
      <c r="B22" s="2" t="s">
        <v>101</v>
      </c>
    </row>
    <row r="23" spans="1:3" x14ac:dyDescent="0.35">
      <c r="A23" s="23">
        <v>23</v>
      </c>
      <c r="B23" s="2" t="s">
        <v>101</v>
      </c>
    </row>
    <row r="24" spans="1:3" x14ac:dyDescent="0.35">
      <c r="A24" s="2">
        <v>24</v>
      </c>
      <c r="B24" s="2" t="s">
        <v>104</v>
      </c>
      <c r="C24" s="57" t="s">
        <v>93</v>
      </c>
    </row>
    <row r="25" spans="1:3" x14ac:dyDescent="0.35">
      <c r="A25" s="2">
        <v>25</v>
      </c>
      <c r="B25" s="2" t="s">
        <v>104</v>
      </c>
    </row>
    <row r="26" spans="1:3" x14ac:dyDescent="0.35">
      <c r="A26" s="2">
        <v>26</v>
      </c>
      <c r="B26" s="2" t="s">
        <v>104</v>
      </c>
    </row>
    <row r="27" spans="1:3" x14ac:dyDescent="0.35">
      <c r="A27" s="2">
        <v>27</v>
      </c>
      <c r="B27" s="38" t="s">
        <v>104</v>
      </c>
    </row>
    <row r="28" spans="1:3" x14ac:dyDescent="0.35">
      <c r="A28" s="2">
        <v>28</v>
      </c>
      <c r="B28" s="2" t="s">
        <v>104</v>
      </c>
    </row>
    <row r="29" spans="1:3" x14ac:dyDescent="0.35">
      <c r="A29" s="23">
        <v>29</v>
      </c>
      <c r="B29" s="2" t="s">
        <v>104</v>
      </c>
    </row>
    <row r="30" spans="1:3" x14ac:dyDescent="0.35">
      <c r="A30" s="2">
        <v>30</v>
      </c>
      <c r="B30" s="2" t="s">
        <v>105</v>
      </c>
    </row>
    <row r="31" spans="1:3" x14ac:dyDescent="0.35">
      <c r="A31" s="2">
        <v>31</v>
      </c>
      <c r="B31" s="2" t="s">
        <v>105</v>
      </c>
    </row>
    <row r="32" spans="1:3" x14ac:dyDescent="0.35">
      <c r="A32" s="2">
        <v>32</v>
      </c>
      <c r="B32" s="38" t="s">
        <v>105</v>
      </c>
    </row>
    <row r="33" spans="1:3" x14ac:dyDescent="0.35">
      <c r="A33" s="2">
        <v>33</v>
      </c>
      <c r="B33" s="2" t="s">
        <v>105</v>
      </c>
    </row>
    <row r="34" spans="1:3" x14ac:dyDescent="0.35">
      <c r="A34" s="2">
        <v>34</v>
      </c>
      <c r="B34" s="2" t="s">
        <v>105</v>
      </c>
    </row>
    <row r="35" spans="1:3" x14ac:dyDescent="0.35">
      <c r="A35" s="2">
        <v>35</v>
      </c>
      <c r="B35" s="2" t="s">
        <v>105</v>
      </c>
    </row>
    <row r="36" spans="1:3" x14ac:dyDescent="0.35">
      <c r="A36" s="2">
        <v>36</v>
      </c>
      <c r="B36" s="38" t="s">
        <v>105</v>
      </c>
    </row>
    <row r="37" spans="1:3" x14ac:dyDescent="0.35">
      <c r="A37" s="23">
        <v>37</v>
      </c>
      <c r="B37" s="2" t="s">
        <v>98</v>
      </c>
      <c r="C37" s="57" t="s">
        <v>94</v>
      </c>
    </row>
    <row r="38" spans="1:3" x14ac:dyDescent="0.35">
      <c r="A38" s="23">
        <v>38</v>
      </c>
      <c r="B38" s="2" t="s">
        <v>98</v>
      </c>
      <c r="C38" s="57" t="s">
        <v>94</v>
      </c>
    </row>
    <row r="39" spans="1:3" x14ac:dyDescent="0.35">
      <c r="A39" s="23">
        <v>39</v>
      </c>
      <c r="B39" s="2" t="s">
        <v>98</v>
      </c>
      <c r="C39" s="57" t="s">
        <v>94</v>
      </c>
    </row>
    <row r="40" spans="1:3" x14ac:dyDescent="0.35">
      <c r="A40" s="23">
        <v>40</v>
      </c>
      <c r="B40" s="2" t="s">
        <v>107</v>
      </c>
    </row>
    <row r="41" spans="1:3" x14ac:dyDescent="0.35">
      <c r="A41" s="23">
        <v>41</v>
      </c>
      <c r="B41" s="2" t="s">
        <v>107</v>
      </c>
    </row>
    <row r="42" spans="1:3" x14ac:dyDescent="0.35">
      <c r="A42" s="23">
        <v>42</v>
      </c>
      <c r="B42" s="2" t="s">
        <v>108</v>
      </c>
    </row>
    <row r="43" spans="1:3" x14ac:dyDescent="0.35">
      <c r="A43" s="23">
        <v>43</v>
      </c>
      <c r="B43" s="2" t="s">
        <v>108</v>
      </c>
    </row>
    <row r="44" spans="1:3" x14ac:dyDescent="0.35">
      <c r="A44" s="23">
        <v>44</v>
      </c>
      <c r="B44" s="2" t="s">
        <v>96</v>
      </c>
    </row>
    <row r="45" spans="1:3" x14ac:dyDescent="0.35">
      <c r="A45" s="23">
        <v>45</v>
      </c>
      <c r="B45" s="2" t="s">
        <v>103</v>
      </c>
    </row>
    <row r="46" spans="1:3" x14ac:dyDescent="0.35">
      <c r="A46" s="23">
        <v>46</v>
      </c>
      <c r="B46" s="2" t="s">
        <v>103</v>
      </c>
    </row>
    <row r="47" spans="1:3" x14ac:dyDescent="0.35">
      <c r="A47" s="23">
        <v>47</v>
      </c>
      <c r="B47" s="2" t="s">
        <v>103</v>
      </c>
    </row>
    <row r="48" spans="1:3" x14ac:dyDescent="0.35">
      <c r="A48" s="23">
        <v>48</v>
      </c>
      <c r="B48" s="2" t="s">
        <v>95</v>
      </c>
    </row>
    <row r="49" spans="1:3" x14ac:dyDescent="0.35">
      <c r="A49" s="23">
        <v>49</v>
      </c>
      <c r="B49" s="2" t="s">
        <v>95</v>
      </c>
    </row>
    <row r="50" spans="1:3" x14ac:dyDescent="0.35">
      <c r="A50" s="23">
        <v>50</v>
      </c>
      <c r="B50" s="2" t="s">
        <v>95</v>
      </c>
    </row>
    <row r="51" spans="1:3" x14ac:dyDescent="0.35">
      <c r="A51" s="23">
        <v>51</v>
      </c>
      <c r="B51" s="2" t="s">
        <v>102</v>
      </c>
    </row>
    <row r="52" spans="1:3" x14ac:dyDescent="0.35">
      <c r="A52" s="23">
        <v>52</v>
      </c>
      <c r="B52" s="2" t="s">
        <v>80</v>
      </c>
    </row>
    <row r="53" spans="1:3" x14ac:dyDescent="0.35">
      <c r="A53" s="23">
        <v>53</v>
      </c>
      <c r="B53" s="2" t="s">
        <v>80</v>
      </c>
    </row>
    <row r="54" spans="1:3" x14ac:dyDescent="0.35">
      <c r="A54" s="23">
        <v>54</v>
      </c>
      <c r="B54" s="2" t="s">
        <v>81</v>
      </c>
    </row>
    <row r="55" spans="1:3" x14ac:dyDescent="0.35">
      <c r="A55" s="23">
        <v>55</v>
      </c>
      <c r="B55" s="2" t="s">
        <v>81</v>
      </c>
    </row>
    <row r="56" spans="1:3" x14ac:dyDescent="0.35">
      <c r="A56" s="38">
        <v>56</v>
      </c>
      <c r="B56" s="38" t="s">
        <v>99</v>
      </c>
    </row>
    <row r="57" spans="1:3" x14ac:dyDescent="0.35">
      <c r="A57" s="2">
        <v>57</v>
      </c>
      <c r="B57" s="2" t="s">
        <v>99</v>
      </c>
    </row>
    <row r="58" spans="1:3" x14ac:dyDescent="0.35">
      <c r="A58" s="2">
        <v>58</v>
      </c>
      <c r="B58" s="2" t="s">
        <v>99</v>
      </c>
    </row>
    <row r="59" spans="1:3" x14ac:dyDescent="0.35">
      <c r="A59" s="2">
        <v>59</v>
      </c>
      <c r="B59" s="2" t="s">
        <v>99</v>
      </c>
    </row>
    <row r="60" spans="1:3" x14ac:dyDescent="0.35">
      <c r="A60" s="2">
        <v>60</v>
      </c>
      <c r="B60" s="2" t="s">
        <v>99</v>
      </c>
    </row>
    <row r="61" spans="1:3" x14ac:dyDescent="0.35">
      <c r="A61" s="2">
        <v>61</v>
      </c>
      <c r="B61" s="38" t="s">
        <v>100</v>
      </c>
      <c r="C61" s="57" t="s">
        <v>82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74E27-CA84-4258-9BE1-9C6827EF1F4F}">
  <sheetPr codeName="Feuil5"/>
  <dimension ref="A1:C61"/>
  <sheetViews>
    <sheetView workbookViewId="0">
      <selection activeCell="E15" sqref="E15"/>
    </sheetView>
  </sheetViews>
  <sheetFormatPr baseColWidth="10" defaultRowHeight="14.5" x14ac:dyDescent="0.35"/>
  <cols>
    <col min="2" max="2" width="20" style="57" bestFit="1" customWidth="1"/>
    <col min="3" max="3" width="15.453125" bestFit="1" customWidth="1"/>
  </cols>
  <sheetData>
    <row r="1" spans="1:3" x14ac:dyDescent="0.35">
      <c r="A1" t="s">
        <v>142</v>
      </c>
      <c r="B1" s="57" t="s">
        <v>87</v>
      </c>
      <c r="C1" t="s">
        <v>89</v>
      </c>
    </row>
    <row r="2" spans="1:3" x14ac:dyDescent="0.35">
      <c r="A2">
        <v>1</v>
      </c>
      <c r="B2" s="2" t="s">
        <v>96</v>
      </c>
      <c r="C2" t="s">
        <v>143</v>
      </c>
    </row>
    <row r="3" spans="1:3" x14ac:dyDescent="0.35">
      <c r="A3">
        <v>2</v>
      </c>
      <c r="B3" s="2" t="s">
        <v>103</v>
      </c>
      <c r="C3" t="s">
        <v>145</v>
      </c>
    </row>
    <row r="4" spans="1:3" x14ac:dyDescent="0.35">
      <c r="A4">
        <v>3</v>
      </c>
      <c r="B4" s="2" t="s">
        <v>98</v>
      </c>
      <c r="C4" t="s">
        <v>144</v>
      </c>
    </row>
    <row r="5" spans="1:3" x14ac:dyDescent="0.35">
      <c r="A5">
        <v>4</v>
      </c>
      <c r="B5" s="38" t="s">
        <v>99</v>
      </c>
    </row>
    <row r="6" spans="1:3" x14ac:dyDescent="0.35">
      <c r="A6">
        <v>5</v>
      </c>
      <c r="B6" s="2" t="s">
        <v>105</v>
      </c>
    </row>
    <row r="7" spans="1:3" x14ac:dyDescent="0.35">
      <c r="A7">
        <v>6</v>
      </c>
      <c r="B7" s="38" t="s">
        <v>100</v>
      </c>
    </row>
    <row r="8" spans="1:3" x14ac:dyDescent="0.35">
      <c r="A8">
        <v>7</v>
      </c>
      <c r="B8" s="2" t="s">
        <v>104</v>
      </c>
    </row>
    <row r="9" spans="1:3" x14ac:dyDescent="0.35">
      <c r="A9">
        <v>8</v>
      </c>
      <c r="B9" s="2" t="s">
        <v>101</v>
      </c>
    </row>
    <row r="10" spans="1:3" x14ac:dyDescent="0.35">
      <c r="A10">
        <v>9</v>
      </c>
      <c r="B10" s="2" t="s">
        <v>80</v>
      </c>
    </row>
    <row r="11" spans="1:3" x14ac:dyDescent="0.35">
      <c r="A11">
        <v>10</v>
      </c>
      <c r="B11" s="2" t="s">
        <v>107</v>
      </c>
    </row>
    <row r="12" spans="1:3" x14ac:dyDescent="0.35">
      <c r="A12">
        <v>11</v>
      </c>
      <c r="B12" s="2" t="s">
        <v>95</v>
      </c>
    </row>
    <row r="13" spans="1:3" x14ac:dyDescent="0.35">
      <c r="A13">
        <v>12</v>
      </c>
      <c r="B13" s="2" t="s">
        <v>102</v>
      </c>
    </row>
    <row r="14" spans="1:3" x14ac:dyDescent="0.35">
      <c r="A14">
        <v>13</v>
      </c>
      <c r="B14" s="2" t="s">
        <v>141</v>
      </c>
    </row>
    <row r="15" spans="1:3" x14ac:dyDescent="0.35">
      <c r="A15">
        <v>14</v>
      </c>
      <c r="B15" s="2" t="s">
        <v>97</v>
      </c>
    </row>
    <row r="16" spans="1:3" x14ac:dyDescent="0.35">
      <c r="A16">
        <v>15</v>
      </c>
      <c r="B16" s="2" t="s">
        <v>81</v>
      </c>
    </row>
    <row r="17" spans="1:2" x14ac:dyDescent="0.35">
      <c r="A17">
        <v>16</v>
      </c>
      <c r="B17" s="2" t="s">
        <v>108</v>
      </c>
    </row>
    <row r="18" spans="1:2" x14ac:dyDescent="0.35">
      <c r="B18"/>
    </row>
    <row r="19" spans="1:2" x14ac:dyDescent="0.35">
      <c r="B19"/>
    </row>
    <row r="20" spans="1:2" x14ac:dyDescent="0.35">
      <c r="B20"/>
    </row>
    <row r="21" spans="1:2" x14ac:dyDescent="0.35">
      <c r="B21"/>
    </row>
    <row r="22" spans="1:2" x14ac:dyDescent="0.35">
      <c r="B22"/>
    </row>
    <row r="23" spans="1:2" x14ac:dyDescent="0.35">
      <c r="B23"/>
    </row>
    <row r="24" spans="1:2" x14ac:dyDescent="0.35">
      <c r="B24"/>
    </row>
    <row r="25" spans="1:2" x14ac:dyDescent="0.35">
      <c r="B25"/>
    </row>
    <row r="26" spans="1:2" x14ac:dyDescent="0.35">
      <c r="B26"/>
    </row>
    <row r="27" spans="1:2" x14ac:dyDescent="0.35">
      <c r="B27"/>
    </row>
    <row r="28" spans="1:2" x14ac:dyDescent="0.35">
      <c r="B28"/>
    </row>
    <row r="29" spans="1:2" x14ac:dyDescent="0.35">
      <c r="B29"/>
    </row>
    <row r="30" spans="1:2" x14ac:dyDescent="0.35">
      <c r="B30"/>
    </row>
    <row r="31" spans="1:2" x14ac:dyDescent="0.35">
      <c r="B31"/>
    </row>
    <row r="32" spans="1:2" x14ac:dyDescent="0.35">
      <c r="B32"/>
    </row>
    <row r="33" spans="2:2" x14ac:dyDescent="0.35">
      <c r="B33"/>
    </row>
    <row r="34" spans="2:2" x14ac:dyDescent="0.35">
      <c r="B34"/>
    </row>
    <row r="35" spans="2:2" x14ac:dyDescent="0.35">
      <c r="B35"/>
    </row>
    <row r="36" spans="2:2" x14ac:dyDescent="0.35">
      <c r="B36"/>
    </row>
    <row r="37" spans="2:2" x14ac:dyDescent="0.35">
      <c r="B37"/>
    </row>
    <row r="38" spans="2:2" x14ac:dyDescent="0.35">
      <c r="B38"/>
    </row>
    <row r="39" spans="2:2" x14ac:dyDescent="0.35">
      <c r="B39"/>
    </row>
    <row r="40" spans="2:2" x14ac:dyDescent="0.35">
      <c r="B40"/>
    </row>
    <row r="41" spans="2:2" x14ac:dyDescent="0.35">
      <c r="B41"/>
    </row>
    <row r="42" spans="2:2" x14ac:dyDescent="0.35">
      <c r="B42"/>
    </row>
    <row r="43" spans="2:2" x14ac:dyDescent="0.35">
      <c r="B43"/>
    </row>
    <row r="44" spans="2:2" x14ac:dyDescent="0.35">
      <c r="B44"/>
    </row>
    <row r="45" spans="2:2" x14ac:dyDescent="0.35">
      <c r="B45"/>
    </row>
    <row r="46" spans="2:2" x14ac:dyDescent="0.35">
      <c r="B46"/>
    </row>
    <row r="47" spans="2:2" x14ac:dyDescent="0.35">
      <c r="B47"/>
    </row>
    <row r="48" spans="2:2" x14ac:dyDescent="0.35">
      <c r="B48"/>
    </row>
    <row r="49" spans="2:2" x14ac:dyDescent="0.35">
      <c r="B49"/>
    </row>
    <row r="50" spans="2:2" x14ac:dyDescent="0.35">
      <c r="B50"/>
    </row>
    <row r="51" spans="2:2" x14ac:dyDescent="0.35">
      <c r="B51"/>
    </row>
    <row r="52" spans="2:2" x14ac:dyDescent="0.35">
      <c r="B52"/>
    </row>
    <row r="53" spans="2:2" x14ac:dyDescent="0.35">
      <c r="B53"/>
    </row>
    <row r="54" spans="2:2" x14ac:dyDescent="0.35">
      <c r="B54"/>
    </row>
    <row r="55" spans="2:2" x14ac:dyDescent="0.35">
      <c r="B55"/>
    </row>
    <row r="56" spans="2:2" x14ac:dyDescent="0.35">
      <c r="B56"/>
    </row>
    <row r="57" spans="2:2" x14ac:dyDescent="0.35">
      <c r="B57"/>
    </row>
    <row r="58" spans="2:2" x14ac:dyDescent="0.35">
      <c r="B58"/>
    </row>
    <row r="59" spans="2:2" x14ac:dyDescent="0.35">
      <c r="B59"/>
    </row>
    <row r="60" spans="2:2" x14ac:dyDescent="0.35">
      <c r="B60"/>
    </row>
    <row r="61" spans="2:2" x14ac:dyDescent="0.35">
      <c r="B61"/>
    </row>
  </sheetData>
  <sortState xmlns:xlrd2="http://schemas.microsoft.com/office/spreadsheetml/2017/richdata2" ref="C2:C63">
    <sortCondition ref="C2:C6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9C93F-3D41-483A-8E32-3924E4F2E44B}">
  <sheetPr codeName="Feuil6"/>
  <dimension ref="A1:AM68"/>
  <sheetViews>
    <sheetView zoomScaleNormal="100" workbookViewId="0">
      <selection activeCell="E15" sqref="E15"/>
    </sheetView>
  </sheetViews>
  <sheetFormatPr baseColWidth="10" defaultColWidth="11.453125" defaultRowHeight="13" x14ac:dyDescent="0.3"/>
  <cols>
    <col min="1" max="1" width="2.7265625" style="62" customWidth="1"/>
    <col min="2" max="2" width="2.7265625" style="73" customWidth="1"/>
    <col min="3" max="30" width="3.7265625" style="63" customWidth="1"/>
    <col min="31" max="31" width="7.81640625" style="63" customWidth="1"/>
    <col min="32" max="32" width="8.81640625" style="63" customWidth="1"/>
    <col min="33" max="33" width="9.54296875" style="63" customWidth="1"/>
    <col min="34" max="34" width="0.453125" style="64" customWidth="1"/>
    <col min="35" max="35" width="5.453125" style="63" customWidth="1"/>
    <col min="36" max="36" width="4.453125" style="63" customWidth="1"/>
    <col min="37" max="38" width="4.1796875" style="63" customWidth="1"/>
    <col min="39" max="39" width="5.453125" style="63" customWidth="1"/>
    <col min="40" max="40" width="3.81640625" style="63" customWidth="1"/>
    <col min="41" max="41" width="6" style="63" customWidth="1"/>
    <col min="42" max="42" width="4.7265625" style="63" customWidth="1"/>
    <col min="43" max="16384" width="11.453125" style="63"/>
  </cols>
  <sheetData>
    <row r="1" spans="1:39" ht="13.5" thickBot="1" x14ac:dyDescent="0.35">
      <c r="B1" s="361"/>
      <c r="C1" s="361"/>
      <c r="D1" s="361"/>
      <c r="E1" s="361"/>
      <c r="F1" s="361"/>
      <c r="G1" s="361"/>
      <c r="H1" s="361"/>
      <c r="I1" s="361"/>
      <c r="J1" s="361"/>
      <c r="K1" s="361"/>
      <c r="L1" s="361"/>
      <c r="M1" s="361"/>
      <c r="N1" s="361"/>
      <c r="O1" s="361"/>
      <c r="P1" s="361"/>
      <c r="Q1" s="361"/>
      <c r="R1" s="361"/>
      <c r="S1" s="361"/>
      <c r="T1" s="361"/>
      <c r="U1" s="361"/>
      <c r="V1" s="361"/>
      <c r="W1" s="361"/>
      <c r="X1" s="361"/>
      <c r="Y1" s="361"/>
      <c r="Z1" s="361"/>
      <c r="AA1" s="361"/>
      <c r="AB1" s="361"/>
      <c r="AC1" s="361"/>
    </row>
    <row r="2" spans="1:39" s="65" customFormat="1" ht="12.75" customHeight="1" thickTop="1" thickBot="1" x14ac:dyDescent="0.4">
      <c r="A2" s="118"/>
      <c r="B2" s="119"/>
      <c r="C2" s="367" t="s">
        <v>109</v>
      </c>
      <c r="D2" s="368"/>
      <c r="E2" s="357" t="s">
        <v>110</v>
      </c>
      <c r="F2" s="362"/>
      <c r="G2" s="357" t="s">
        <v>111</v>
      </c>
      <c r="H2" s="362"/>
      <c r="I2" s="357" t="s">
        <v>112</v>
      </c>
      <c r="J2" s="362"/>
      <c r="K2" s="357" t="s">
        <v>138</v>
      </c>
      <c r="L2" s="362"/>
      <c r="M2" s="357" t="s">
        <v>139</v>
      </c>
      <c r="N2" s="362"/>
      <c r="O2" s="357" t="s">
        <v>113</v>
      </c>
      <c r="P2" s="362"/>
      <c r="Q2" s="357" t="s">
        <v>114</v>
      </c>
      <c r="R2" s="362"/>
      <c r="S2" s="357" t="s">
        <v>115</v>
      </c>
      <c r="T2" s="362"/>
      <c r="U2" s="357" t="s">
        <v>116</v>
      </c>
      <c r="V2" s="362"/>
      <c r="W2" s="357" t="s">
        <v>117</v>
      </c>
      <c r="X2" s="362"/>
      <c r="Y2" s="357" t="s">
        <v>118</v>
      </c>
      <c r="Z2" s="362"/>
      <c r="AA2" s="357" t="s">
        <v>119</v>
      </c>
      <c r="AB2" s="358"/>
      <c r="AC2" s="359" t="s">
        <v>120</v>
      </c>
      <c r="AD2" s="360"/>
    </row>
    <row r="3" spans="1:39" ht="12.75" customHeight="1" thickTop="1" x14ac:dyDescent="0.3">
      <c r="A3" s="366" t="s">
        <v>121</v>
      </c>
      <c r="B3" s="103" t="s">
        <v>122</v>
      </c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93"/>
      <c r="O3" s="93"/>
      <c r="P3" s="81"/>
      <c r="Q3" s="81"/>
      <c r="R3" s="81"/>
      <c r="S3" s="81"/>
      <c r="T3" s="81"/>
      <c r="U3" s="94"/>
      <c r="V3" s="94"/>
      <c r="W3" s="94"/>
      <c r="X3" s="94"/>
      <c r="Y3" s="94"/>
      <c r="Z3" s="94"/>
      <c r="AA3" s="94"/>
      <c r="AB3" s="94"/>
      <c r="AC3" s="93"/>
      <c r="AD3" s="117"/>
      <c r="AH3" s="63"/>
    </row>
    <row r="4" spans="1:39" ht="12.75" customHeight="1" x14ac:dyDescent="0.3">
      <c r="A4" s="364"/>
      <c r="B4" s="66" t="s">
        <v>123</v>
      </c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5"/>
      <c r="O4" s="75"/>
      <c r="P4" s="76"/>
      <c r="Q4" s="76"/>
      <c r="R4" s="76"/>
      <c r="S4" s="76"/>
      <c r="T4" s="76"/>
      <c r="U4" s="85"/>
      <c r="V4" s="85"/>
      <c r="W4" s="85"/>
      <c r="X4" s="85"/>
      <c r="Y4" s="85"/>
      <c r="Z4" s="85"/>
      <c r="AA4" s="85"/>
      <c r="AB4" s="85"/>
      <c r="AC4" s="75"/>
      <c r="AD4" s="107"/>
      <c r="AH4" s="63"/>
    </row>
    <row r="5" spans="1:39" ht="12.75" customHeight="1" x14ac:dyDescent="0.3">
      <c r="A5" s="364"/>
      <c r="B5" s="66" t="s">
        <v>124</v>
      </c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5"/>
      <c r="O5" s="75"/>
      <c r="P5" s="76"/>
      <c r="Q5" s="76"/>
      <c r="R5" s="76"/>
      <c r="S5" s="76"/>
      <c r="T5" s="76"/>
      <c r="U5" s="87"/>
      <c r="V5" s="88"/>
      <c r="W5" s="88"/>
      <c r="X5" s="88"/>
      <c r="Y5" s="85"/>
      <c r="Z5" s="85"/>
      <c r="AA5" s="85"/>
      <c r="AB5" s="85"/>
      <c r="AC5" s="75"/>
      <c r="AD5" s="107"/>
      <c r="AH5" s="63"/>
    </row>
    <row r="6" spans="1:39" ht="12.75" customHeight="1" x14ac:dyDescent="0.3">
      <c r="A6" s="364"/>
      <c r="B6" s="66" t="s">
        <v>125</v>
      </c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5"/>
      <c r="O6" s="77"/>
      <c r="P6" s="77"/>
      <c r="Q6" s="77"/>
      <c r="R6" s="77"/>
      <c r="S6" s="77"/>
      <c r="T6" s="77"/>
      <c r="U6" s="88"/>
      <c r="V6" s="88"/>
      <c r="W6" s="88"/>
      <c r="X6" s="88"/>
      <c r="Y6" s="85"/>
      <c r="Z6" s="85"/>
      <c r="AA6" s="85"/>
      <c r="AB6" s="85"/>
      <c r="AC6" s="75"/>
      <c r="AD6" s="107"/>
      <c r="AH6" s="63"/>
      <c r="AI6" s="63" t="s">
        <v>0</v>
      </c>
      <c r="AM6" s="63" t="s">
        <v>140</v>
      </c>
    </row>
    <row r="7" spans="1:39" ht="12.75" customHeight="1" x14ac:dyDescent="0.3">
      <c r="A7" s="364"/>
      <c r="B7" s="66" t="s">
        <v>126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5"/>
      <c r="O7" s="78"/>
      <c r="P7" s="78"/>
      <c r="Q7" s="78"/>
      <c r="R7" s="78"/>
      <c r="S7" s="78"/>
      <c r="T7" s="78"/>
      <c r="U7" s="85"/>
      <c r="V7" s="85"/>
      <c r="W7" s="85"/>
      <c r="X7" s="85"/>
      <c r="Y7" s="85"/>
      <c r="Z7" s="85"/>
      <c r="AA7" s="85"/>
      <c r="AB7" s="85"/>
      <c r="AC7" s="75"/>
      <c r="AD7" s="107"/>
      <c r="AH7" s="63"/>
    </row>
    <row r="8" spans="1:39" ht="12.75" customHeight="1" x14ac:dyDescent="0.3">
      <c r="A8" s="364"/>
      <c r="B8" s="66" t="s">
        <v>127</v>
      </c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9"/>
      <c r="O8" s="78"/>
      <c r="P8" s="78"/>
      <c r="Q8" s="78"/>
      <c r="R8" s="78"/>
      <c r="S8" s="78"/>
      <c r="T8" s="78"/>
      <c r="U8" s="85"/>
      <c r="V8" s="85"/>
      <c r="W8" s="85"/>
      <c r="X8" s="85"/>
      <c r="Y8" s="85"/>
      <c r="Z8" s="85"/>
      <c r="AA8" s="85"/>
      <c r="AB8" s="85"/>
      <c r="AC8" s="79"/>
      <c r="AD8" s="108"/>
      <c r="AH8" s="63"/>
    </row>
    <row r="9" spans="1:39" ht="12.75" customHeight="1" x14ac:dyDescent="0.3">
      <c r="A9" s="364"/>
      <c r="B9" s="66" t="s">
        <v>128</v>
      </c>
      <c r="C9" s="74"/>
      <c r="D9" s="77"/>
      <c r="E9" s="77"/>
      <c r="F9" s="77"/>
      <c r="G9" s="77"/>
      <c r="H9" s="77"/>
      <c r="I9" s="77"/>
      <c r="J9" s="77"/>
      <c r="K9" s="77"/>
      <c r="L9" s="77"/>
      <c r="M9" s="77"/>
      <c r="N9" s="79"/>
      <c r="O9" s="78"/>
      <c r="P9" s="78"/>
      <c r="Q9" s="78"/>
      <c r="R9" s="78"/>
      <c r="S9" s="78"/>
      <c r="T9" s="78"/>
      <c r="U9" s="74"/>
      <c r="V9" s="79"/>
      <c r="W9" s="77"/>
      <c r="X9" s="79"/>
      <c r="Y9" s="79"/>
      <c r="Z9" s="79"/>
      <c r="AA9" s="79"/>
      <c r="AB9" s="79"/>
      <c r="AC9" s="79"/>
      <c r="AD9" s="108"/>
      <c r="AH9" s="63"/>
    </row>
    <row r="10" spans="1:39" ht="12.75" customHeight="1" x14ac:dyDescent="0.3">
      <c r="A10" s="364"/>
      <c r="B10" s="67" t="s">
        <v>129</v>
      </c>
      <c r="C10" s="79"/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85"/>
      <c r="V10" s="85"/>
      <c r="W10" s="85"/>
      <c r="X10" s="85"/>
      <c r="Y10" s="85"/>
      <c r="Z10" s="85"/>
      <c r="AA10" s="85"/>
      <c r="AB10" s="85"/>
      <c r="AC10" s="79"/>
      <c r="AD10" s="108"/>
      <c r="AH10" s="63"/>
    </row>
    <row r="11" spans="1:39" ht="12.75" customHeight="1" thickBot="1" x14ac:dyDescent="0.35">
      <c r="A11" s="365"/>
      <c r="B11" s="68" t="s">
        <v>130</v>
      </c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9"/>
      <c r="V11" s="99"/>
      <c r="W11" s="99"/>
      <c r="X11" s="99"/>
      <c r="Y11" s="99"/>
      <c r="Z11" s="99"/>
      <c r="AA11" s="99"/>
      <c r="AB11" s="99"/>
      <c r="AC11" s="98"/>
      <c r="AD11" s="109"/>
      <c r="AH11" s="63"/>
    </row>
    <row r="12" spans="1:39" ht="12.75" customHeight="1" thickTop="1" x14ac:dyDescent="0.3">
      <c r="A12" s="363" t="s">
        <v>131</v>
      </c>
      <c r="B12" s="69" t="s">
        <v>122</v>
      </c>
      <c r="C12" s="80"/>
      <c r="D12" s="80"/>
      <c r="E12" s="81"/>
      <c r="F12" s="81"/>
      <c r="G12" s="81"/>
      <c r="H12" s="81"/>
      <c r="I12" s="80"/>
      <c r="J12" s="80"/>
      <c r="K12" s="80"/>
      <c r="L12" s="80"/>
      <c r="M12" s="80"/>
      <c r="N12" s="80"/>
      <c r="O12" s="81"/>
      <c r="P12" s="81"/>
      <c r="Q12" s="81"/>
      <c r="R12" s="81"/>
      <c r="S12" s="120"/>
      <c r="T12" s="80"/>
      <c r="U12" s="97"/>
      <c r="V12" s="94"/>
      <c r="W12" s="94"/>
      <c r="X12" s="94"/>
      <c r="Y12" s="94"/>
      <c r="Z12" s="94"/>
      <c r="AA12" s="94"/>
      <c r="AB12" s="94"/>
      <c r="AC12" s="80"/>
      <c r="AD12" s="110"/>
      <c r="AH12" s="63"/>
    </row>
    <row r="13" spans="1:39" ht="12.75" customHeight="1" x14ac:dyDescent="0.3">
      <c r="A13" s="364"/>
      <c r="B13" s="66" t="s">
        <v>123</v>
      </c>
      <c r="C13" s="82"/>
      <c r="D13" s="82"/>
      <c r="E13" s="76"/>
      <c r="F13" s="76"/>
      <c r="G13" s="76"/>
      <c r="H13" s="76"/>
      <c r="I13" s="82"/>
      <c r="J13" s="82"/>
      <c r="K13" s="82"/>
      <c r="L13" s="82"/>
      <c r="M13" s="82"/>
      <c r="N13" s="82"/>
      <c r="O13" s="76"/>
      <c r="P13" s="76"/>
      <c r="Q13" s="76"/>
      <c r="R13" s="76"/>
      <c r="S13" s="82"/>
      <c r="T13" s="82"/>
      <c r="U13" s="85"/>
      <c r="V13" s="85"/>
      <c r="W13" s="85"/>
      <c r="X13" s="85"/>
      <c r="Y13" s="85"/>
      <c r="Z13" s="85"/>
      <c r="AA13" s="85"/>
      <c r="AB13" s="85"/>
      <c r="AC13" s="82"/>
      <c r="AD13" s="111"/>
      <c r="AH13" s="63"/>
    </row>
    <row r="14" spans="1:39" ht="12.75" customHeight="1" x14ac:dyDescent="0.3">
      <c r="A14" s="364"/>
      <c r="B14" s="66" t="s">
        <v>124</v>
      </c>
      <c r="C14" s="82"/>
      <c r="D14" s="82"/>
      <c r="E14" s="76"/>
      <c r="F14" s="76"/>
      <c r="G14" s="76"/>
      <c r="H14" s="76"/>
      <c r="I14" s="82"/>
      <c r="J14" s="82"/>
      <c r="K14" s="82"/>
      <c r="L14" s="82"/>
      <c r="M14" s="82"/>
      <c r="N14" s="82"/>
      <c r="O14" s="76"/>
      <c r="P14" s="76"/>
      <c r="Q14" s="76"/>
      <c r="R14" s="76"/>
      <c r="S14" s="82"/>
      <c r="T14" s="82"/>
      <c r="U14" s="85"/>
      <c r="V14" s="85"/>
      <c r="W14" s="85"/>
      <c r="X14" s="85"/>
      <c r="Y14" s="85"/>
      <c r="Z14" s="85"/>
      <c r="AA14" s="85"/>
      <c r="AB14" s="85"/>
      <c r="AC14" s="82"/>
      <c r="AD14" s="111"/>
      <c r="AE14" s="70"/>
      <c r="AH14" s="63"/>
    </row>
    <row r="15" spans="1:39" ht="12.75" customHeight="1" x14ac:dyDescent="0.3">
      <c r="A15" s="364"/>
      <c r="B15" s="66" t="s">
        <v>125</v>
      </c>
      <c r="C15" s="82"/>
      <c r="D15" s="82"/>
      <c r="E15" s="76"/>
      <c r="F15" s="76"/>
      <c r="G15" s="76"/>
      <c r="H15" s="76"/>
      <c r="I15" s="82"/>
      <c r="J15" s="82"/>
      <c r="K15" s="82"/>
      <c r="L15" s="82"/>
      <c r="M15" s="82"/>
      <c r="N15" s="82"/>
      <c r="O15" s="77"/>
      <c r="P15" s="77"/>
      <c r="Q15" s="77"/>
      <c r="R15" s="77"/>
      <c r="S15" s="77"/>
      <c r="T15" s="77"/>
      <c r="U15" s="89"/>
      <c r="V15" s="89"/>
      <c r="W15" s="89"/>
      <c r="X15" s="89"/>
      <c r="Y15" s="89"/>
      <c r="Z15" s="89"/>
      <c r="AA15" s="89"/>
      <c r="AB15" s="89"/>
      <c r="AC15" s="89"/>
      <c r="AD15" s="111"/>
      <c r="AH15" s="63"/>
    </row>
    <row r="16" spans="1:39" ht="12.75" customHeight="1" x14ac:dyDescent="0.3">
      <c r="A16" s="364"/>
      <c r="B16" s="66" t="s">
        <v>126</v>
      </c>
      <c r="C16" s="82"/>
      <c r="D16" s="82"/>
      <c r="E16" s="76"/>
      <c r="F16" s="76"/>
      <c r="G16" s="76"/>
      <c r="H16" s="76"/>
      <c r="I16" s="82"/>
      <c r="J16" s="83"/>
      <c r="K16" s="83"/>
      <c r="L16" s="83"/>
      <c r="M16" s="83"/>
      <c r="N16" s="82"/>
      <c r="O16" s="78"/>
      <c r="P16" s="78"/>
      <c r="Q16" s="78"/>
      <c r="R16" s="78"/>
      <c r="S16" s="78"/>
      <c r="T16" s="78"/>
      <c r="U16" s="85"/>
      <c r="V16" s="85"/>
      <c r="W16" s="85"/>
      <c r="X16" s="85"/>
      <c r="Y16" s="85"/>
      <c r="Z16" s="85"/>
      <c r="AA16" s="85"/>
      <c r="AB16" s="85"/>
      <c r="AC16" s="82"/>
      <c r="AD16" s="111"/>
      <c r="AH16" s="63"/>
    </row>
    <row r="17" spans="1:34" ht="12.75" customHeight="1" x14ac:dyDescent="0.3">
      <c r="A17" s="364"/>
      <c r="B17" s="66" t="s">
        <v>127</v>
      </c>
      <c r="C17" s="82"/>
      <c r="D17" s="82"/>
      <c r="E17" s="77"/>
      <c r="F17" s="76"/>
      <c r="G17" s="76"/>
      <c r="H17" s="76"/>
      <c r="I17" s="82"/>
      <c r="J17" s="82"/>
      <c r="K17" s="82"/>
      <c r="L17" s="82"/>
      <c r="M17" s="82"/>
      <c r="N17" s="82"/>
      <c r="O17" s="76"/>
      <c r="P17" s="76"/>
      <c r="Q17" s="76"/>
      <c r="R17" s="76"/>
      <c r="S17" s="76"/>
      <c r="T17" s="76"/>
      <c r="U17" s="85"/>
      <c r="V17" s="85"/>
      <c r="W17" s="85"/>
      <c r="X17" s="85"/>
      <c r="Y17" s="85"/>
      <c r="Z17" s="85"/>
      <c r="AA17" s="85"/>
      <c r="AB17" s="85"/>
      <c r="AC17" s="82"/>
      <c r="AD17" s="111"/>
      <c r="AH17" s="63"/>
    </row>
    <row r="18" spans="1:34" ht="12.75" customHeight="1" x14ac:dyDescent="0.3">
      <c r="A18" s="364"/>
      <c r="B18" s="66" t="s">
        <v>128</v>
      </c>
      <c r="C18" s="82"/>
      <c r="D18" s="82"/>
      <c r="E18" s="76"/>
      <c r="F18" s="76"/>
      <c r="G18" s="76"/>
      <c r="H18" s="76"/>
      <c r="I18" s="82"/>
      <c r="J18" s="82"/>
      <c r="K18" s="82"/>
      <c r="L18" s="82"/>
      <c r="M18" s="82"/>
      <c r="N18" s="82"/>
      <c r="O18" s="76"/>
      <c r="P18" s="76"/>
      <c r="Q18" s="76"/>
      <c r="R18" s="76"/>
      <c r="S18" s="76"/>
      <c r="T18" s="76"/>
      <c r="U18" s="82"/>
      <c r="V18" s="82"/>
      <c r="W18" s="82"/>
      <c r="X18" s="82"/>
      <c r="Y18" s="82"/>
      <c r="Z18" s="82"/>
      <c r="AA18" s="82"/>
      <c r="AB18" s="82"/>
      <c r="AC18" s="82"/>
      <c r="AD18" s="111"/>
      <c r="AH18" s="63"/>
    </row>
    <row r="19" spans="1:34" ht="12.75" customHeight="1" x14ac:dyDescent="0.3">
      <c r="A19" s="364"/>
      <c r="B19" s="67" t="s">
        <v>129</v>
      </c>
      <c r="C19" s="82"/>
      <c r="D19" s="82"/>
      <c r="E19" s="82"/>
      <c r="F19" s="82"/>
      <c r="G19" s="82"/>
      <c r="H19" s="82"/>
      <c r="I19" s="82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5"/>
      <c r="V19" s="85"/>
      <c r="W19" s="85"/>
      <c r="X19" s="85"/>
      <c r="Y19" s="87"/>
      <c r="Z19" s="88"/>
      <c r="AA19" s="88"/>
      <c r="AB19" s="88"/>
      <c r="AC19" s="82"/>
      <c r="AD19" s="111"/>
      <c r="AH19" s="63"/>
    </row>
    <row r="20" spans="1:34" ht="12.75" customHeight="1" thickBot="1" x14ac:dyDescent="0.35">
      <c r="A20" s="365"/>
      <c r="B20" s="68" t="s">
        <v>130</v>
      </c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  <c r="S20" s="101"/>
      <c r="T20" s="101"/>
      <c r="U20" s="99"/>
      <c r="V20" s="99"/>
      <c r="W20" s="99"/>
      <c r="X20" s="99"/>
      <c r="Y20" s="102"/>
      <c r="Z20" s="102"/>
      <c r="AA20" s="102"/>
      <c r="AB20" s="102"/>
      <c r="AC20" s="101"/>
      <c r="AD20" s="112"/>
      <c r="AH20" s="63"/>
    </row>
    <row r="21" spans="1:34" ht="12.75" customHeight="1" thickTop="1" x14ac:dyDescent="0.3">
      <c r="A21" s="363" t="s">
        <v>132</v>
      </c>
      <c r="B21" s="100" t="s">
        <v>122</v>
      </c>
      <c r="C21" s="80"/>
      <c r="D21" s="81"/>
      <c r="E21" s="81"/>
      <c r="F21" s="81"/>
      <c r="G21" s="81"/>
      <c r="H21" s="81"/>
      <c r="I21" s="81"/>
      <c r="J21" s="81"/>
      <c r="K21" s="81"/>
      <c r="L21" s="81"/>
      <c r="M21" s="81"/>
      <c r="N21" s="80"/>
      <c r="O21" s="80"/>
      <c r="P21" s="80"/>
      <c r="Q21" s="96"/>
      <c r="R21" s="96"/>
      <c r="S21" s="96"/>
      <c r="T21" s="96"/>
      <c r="U21" s="94"/>
      <c r="V21" s="94"/>
      <c r="W21" s="94"/>
      <c r="X21" s="94"/>
      <c r="Y21" s="94"/>
      <c r="Z21" s="94"/>
      <c r="AA21" s="94"/>
      <c r="AB21" s="94"/>
      <c r="AC21" s="80"/>
      <c r="AD21" s="110"/>
      <c r="AH21" s="63"/>
    </row>
    <row r="22" spans="1:34" ht="12.75" customHeight="1" x14ac:dyDescent="0.3">
      <c r="A22" s="364"/>
      <c r="B22" s="66" t="s">
        <v>123</v>
      </c>
      <c r="C22" s="82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82"/>
      <c r="O22" s="82"/>
      <c r="P22" s="82"/>
      <c r="Q22" s="90"/>
      <c r="R22" s="90"/>
      <c r="S22" s="90"/>
      <c r="T22" s="90"/>
      <c r="U22" s="85"/>
      <c r="V22" s="85"/>
      <c r="W22" s="85"/>
      <c r="X22" s="85"/>
      <c r="Y22" s="85"/>
      <c r="Z22" s="85"/>
      <c r="AA22" s="85"/>
      <c r="AB22" s="85"/>
      <c r="AC22" s="82"/>
      <c r="AD22" s="111"/>
      <c r="AH22" s="63"/>
    </row>
    <row r="23" spans="1:34" ht="12.75" customHeight="1" x14ac:dyDescent="0.3">
      <c r="A23" s="364"/>
      <c r="B23" s="66" t="s">
        <v>124</v>
      </c>
      <c r="C23" s="82"/>
      <c r="D23" s="76"/>
      <c r="E23" s="76"/>
      <c r="F23" s="76"/>
      <c r="G23" s="76"/>
      <c r="H23" s="76"/>
      <c r="I23" s="76"/>
      <c r="J23" s="76"/>
      <c r="K23" s="76"/>
      <c r="L23" s="76"/>
      <c r="M23" s="76"/>
      <c r="N23" s="82"/>
      <c r="O23" s="82"/>
      <c r="P23" s="82"/>
      <c r="Q23" s="90"/>
      <c r="R23" s="90"/>
      <c r="S23" s="90"/>
      <c r="T23" s="90"/>
      <c r="U23" s="87"/>
      <c r="V23" s="88"/>
      <c r="W23" s="88"/>
      <c r="X23" s="88"/>
      <c r="Y23" s="85"/>
      <c r="Z23" s="85"/>
      <c r="AA23" s="85"/>
      <c r="AB23" s="85"/>
      <c r="AC23" s="82"/>
      <c r="AD23" s="111"/>
      <c r="AH23" s="63"/>
    </row>
    <row r="24" spans="1:34" ht="12.75" customHeight="1" x14ac:dyDescent="0.3">
      <c r="A24" s="364"/>
      <c r="B24" s="66" t="s">
        <v>125</v>
      </c>
      <c r="C24" s="82"/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82"/>
      <c r="O24" s="77"/>
      <c r="P24" s="77"/>
      <c r="Q24" s="90"/>
      <c r="R24" s="90"/>
      <c r="S24" s="90"/>
      <c r="T24" s="90"/>
      <c r="U24" s="88"/>
      <c r="V24" s="88"/>
      <c r="W24" s="88"/>
      <c r="X24" s="88"/>
      <c r="Y24" s="85"/>
      <c r="Z24" s="85"/>
      <c r="AA24" s="85"/>
      <c r="AB24" s="85"/>
      <c r="AC24" s="82"/>
      <c r="AD24" s="111"/>
      <c r="AH24" s="63"/>
    </row>
    <row r="25" spans="1:34" ht="12.75" customHeight="1" x14ac:dyDescent="0.3">
      <c r="A25" s="364"/>
      <c r="B25" s="66" t="s">
        <v>126</v>
      </c>
      <c r="C25" s="82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82"/>
      <c r="O25" s="78"/>
      <c r="P25" s="78"/>
      <c r="Q25" s="90"/>
      <c r="R25" s="90"/>
      <c r="S25" s="90"/>
      <c r="T25" s="90"/>
      <c r="U25" s="85"/>
      <c r="V25" s="85"/>
      <c r="W25" s="85"/>
      <c r="X25" s="85"/>
      <c r="Y25" s="85"/>
      <c r="Z25" s="85"/>
      <c r="AA25" s="85"/>
      <c r="AB25" s="85"/>
      <c r="AC25" s="82"/>
      <c r="AD25" s="111"/>
      <c r="AH25" s="63"/>
    </row>
    <row r="26" spans="1:34" ht="12.75" customHeight="1" x14ac:dyDescent="0.3">
      <c r="A26" s="364"/>
      <c r="B26" s="66" t="s">
        <v>127</v>
      </c>
      <c r="C26" s="82"/>
      <c r="D26" s="76"/>
      <c r="E26" s="76"/>
      <c r="F26" s="76"/>
      <c r="G26" s="76"/>
      <c r="H26" s="76"/>
      <c r="I26" s="76"/>
      <c r="J26" s="76"/>
      <c r="K26" s="76"/>
      <c r="L26" s="76"/>
      <c r="M26" s="76"/>
      <c r="N26" s="82"/>
      <c r="O26" s="82"/>
      <c r="P26" s="82"/>
      <c r="Q26" s="89"/>
      <c r="R26" s="89"/>
      <c r="S26" s="89"/>
      <c r="T26" s="89"/>
      <c r="U26" s="89"/>
      <c r="V26" s="89"/>
      <c r="W26" s="89"/>
      <c r="X26" s="89"/>
      <c r="Y26" s="85"/>
      <c r="Z26" s="85"/>
      <c r="AA26" s="85"/>
      <c r="AB26" s="85"/>
      <c r="AC26" s="82"/>
      <c r="AD26" s="111"/>
      <c r="AH26" s="63"/>
    </row>
    <row r="27" spans="1:34" ht="12.75" customHeight="1" x14ac:dyDescent="0.3">
      <c r="A27" s="364"/>
      <c r="B27" s="66" t="s">
        <v>128</v>
      </c>
      <c r="C27" s="82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82"/>
      <c r="O27" s="82"/>
      <c r="P27" s="82"/>
      <c r="Q27" s="91"/>
      <c r="R27" s="91"/>
      <c r="S27" s="91"/>
      <c r="T27" s="91"/>
      <c r="U27" s="91"/>
      <c r="V27" s="91"/>
      <c r="W27" s="91"/>
      <c r="X27" s="91"/>
      <c r="Y27" s="91"/>
      <c r="Z27" s="82"/>
      <c r="AA27" s="82"/>
      <c r="AB27" s="82"/>
      <c r="AC27" s="82"/>
      <c r="AD27" s="111"/>
      <c r="AH27" s="63"/>
    </row>
    <row r="28" spans="1:34" ht="12.75" customHeight="1" x14ac:dyDescent="0.3">
      <c r="A28" s="364"/>
      <c r="B28" s="66" t="s">
        <v>129</v>
      </c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85"/>
      <c r="R28" s="85"/>
      <c r="S28" s="85"/>
      <c r="T28" s="85"/>
      <c r="U28" s="85"/>
      <c r="V28" s="85"/>
      <c r="W28" s="85"/>
      <c r="X28" s="85"/>
      <c r="Y28" s="85"/>
      <c r="Z28" s="89"/>
      <c r="AA28" s="89"/>
      <c r="AB28" s="89"/>
      <c r="AC28" s="82"/>
      <c r="AD28" s="111"/>
    </row>
    <row r="29" spans="1:34" ht="12.75" customHeight="1" thickBot="1" x14ac:dyDescent="0.35">
      <c r="A29" s="365"/>
      <c r="B29" s="68" t="s">
        <v>130</v>
      </c>
      <c r="C29" s="101"/>
      <c r="D29" s="104"/>
      <c r="E29" s="104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99"/>
      <c r="R29" s="99"/>
      <c r="S29" s="99"/>
      <c r="T29" s="99"/>
      <c r="U29" s="99"/>
      <c r="V29" s="99"/>
      <c r="W29" s="99"/>
      <c r="X29" s="99"/>
      <c r="Y29" s="99"/>
      <c r="Z29" s="99"/>
      <c r="AA29" s="99"/>
      <c r="AB29" s="99"/>
      <c r="AC29" s="101"/>
      <c r="AD29" s="112"/>
      <c r="AH29" s="63"/>
    </row>
    <row r="30" spans="1:34" ht="12.75" customHeight="1" thickTop="1" x14ac:dyDescent="0.3">
      <c r="A30" s="363" t="s">
        <v>133</v>
      </c>
      <c r="B30" s="103" t="s">
        <v>122</v>
      </c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94"/>
      <c r="V30" s="94"/>
      <c r="W30" s="94"/>
      <c r="X30" s="94"/>
      <c r="Y30" s="94"/>
      <c r="Z30" s="94"/>
      <c r="AA30" s="94"/>
      <c r="AB30" s="94"/>
      <c r="AC30" s="84"/>
      <c r="AD30" s="113"/>
      <c r="AH30" s="63"/>
    </row>
    <row r="31" spans="1:34" ht="12.75" customHeight="1" x14ac:dyDescent="0.3">
      <c r="A31" s="364"/>
      <c r="B31" s="66" t="s">
        <v>123</v>
      </c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85"/>
      <c r="V31" s="85"/>
      <c r="W31" s="85"/>
      <c r="X31" s="85"/>
      <c r="Y31" s="85"/>
      <c r="Z31" s="85"/>
      <c r="AA31" s="89"/>
      <c r="AB31" s="89"/>
      <c r="AC31" s="89"/>
      <c r="AD31" s="114"/>
      <c r="AH31" s="63"/>
    </row>
    <row r="32" spans="1:34" ht="12.75" customHeight="1" x14ac:dyDescent="0.3">
      <c r="A32" s="364"/>
      <c r="B32" s="66" t="s">
        <v>124</v>
      </c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85"/>
      <c r="V32" s="85"/>
      <c r="W32" s="85"/>
      <c r="X32" s="85"/>
      <c r="Y32" s="85"/>
      <c r="Z32" s="85"/>
      <c r="AA32" s="85"/>
      <c r="AB32" s="85"/>
      <c r="AC32" s="74"/>
      <c r="AD32" s="114"/>
      <c r="AH32" s="63"/>
    </row>
    <row r="33" spans="1:34" ht="12.75" customHeight="1" x14ac:dyDescent="0.3">
      <c r="A33" s="364"/>
      <c r="B33" s="66" t="s">
        <v>125</v>
      </c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7"/>
      <c r="P33" s="77"/>
      <c r="Q33" s="77"/>
      <c r="R33" s="77"/>
      <c r="S33" s="77"/>
      <c r="T33" s="77"/>
      <c r="U33" s="85"/>
      <c r="V33" s="85"/>
      <c r="W33" s="85"/>
      <c r="X33" s="85"/>
      <c r="Y33" s="85"/>
      <c r="Z33" s="85"/>
      <c r="AA33" s="85"/>
      <c r="AB33" s="85"/>
      <c r="AC33" s="74"/>
      <c r="AD33" s="114"/>
      <c r="AH33" s="63"/>
    </row>
    <row r="34" spans="1:34" ht="12.75" customHeight="1" x14ac:dyDescent="0.3">
      <c r="A34" s="364"/>
      <c r="B34" s="66" t="s">
        <v>126</v>
      </c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8"/>
      <c r="P34" s="78"/>
      <c r="Q34" s="78"/>
      <c r="R34" s="78"/>
      <c r="S34" s="78"/>
      <c r="T34" s="78"/>
      <c r="U34" s="85"/>
      <c r="V34" s="85"/>
      <c r="W34" s="85"/>
      <c r="X34" s="85"/>
      <c r="Y34" s="85"/>
      <c r="Z34" s="85"/>
      <c r="AA34" s="85"/>
      <c r="AB34" s="85"/>
      <c r="AC34" s="74"/>
      <c r="AD34" s="114"/>
      <c r="AH34" s="63"/>
    </row>
    <row r="35" spans="1:34" ht="12.75" customHeight="1" x14ac:dyDescent="0.3">
      <c r="A35" s="364"/>
      <c r="B35" s="66" t="s">
        <v>127</v>
      </c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85"/>
      <c r="V35" s="85"/>
      <c r="W35" s="85"/>
      <c r="X35" s="85"/>
      <c r="Y35" s="85"/>
      <c r="Z35" s="85"/>
      <c r="AA35" s="85"/>
      <c r="AB35" s="85"/>
      <c r="AC35" s="74"/>
      <c r="AD35" s="114"/>
      <c r="AH35" s="63"/>
    </row>
    <row r="36" spans="1:34" ht="12.75" customHeight="1" x14ac:dyDescent="0.3">
      <c r="A36" s="364"/>
      <c r="B36" s="66" t="s">
        <v>128</v>
      </c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114"/>
      <c r="AH36" s="63"/>
    </row>
    <row r="37" spans="1:34" ht="12.75" customHeight="1" x14ac:dyDescent="0.3">
      <c r="A37" s="364"/>
      <c r="B37" s="67" t="s">
        <v>129</v>
      </c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7"/>
      <c r="T37" s="77"/>
      <c r="U37" s="77"/>
      <c r="V37" s="85"/>
      <c r="W37" s="85"/>
      <c r="X37" s="85"/>
      <c r="Y37" s="87"/>
      <c r="Z37" s="88"/>
      <c r="AA37" s="88"/>
      <c r="AB37" s="88"/>
      <c r="AC37" s="74"/>
      <c r="AD37" s="114"/>
      <c r="AH37" s="63"/>
    </row>
    <row r="38" spans="1:34" ht="12.75" customHeight="1" thickBot="1" x14ac:dyDescent="0.35">
      <c r="A38" s="365"/>
      <c r="B38" s="68" t="s">
        <v>130</v>
      </c>
      <c r="C38" s="105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5"/>
      <c r="S38" s="105"/>
      <c r="T38" s="105"/>
      <c r="U38" s="99"/>
      <c r="V38" s="99"/>
      <c r="W38" s="99"/>
      <c r="X38" s="99"/>
      <c r="Y38" s="102"/>
      <c r="Z38" s="102"/>
      <c r="AA38" s="102"/>
      <c r="AB38" s="102"/>
      <c r="AC38" s="105"/>
      <c r="AD38" s="115"/>
      <c r="AH38" s="63"/>
    </row>
    <row r="39" spans="1:34" ht="12.75" customHeight="1" thickTop="1" x14ac:dyDescent="0.3">
      <c r="A39" s="363" t="s">
        <v>134</v>
      </c>
      <c r="B39" s="69" t="s">
        <v>122</v>
      </c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84"/>
      <c r="Q39" s="96"/>
      <c r="R39" s="96"/>
      <c r="S39" s="96"/>
      <c r="T39" s="96"/>
      <c r="U39" s="94"/>
      <c r="V39" s="94"/>
      <c r="W39" s="94"/>
      <c r="X39" s="94"/>
      <c r="Y39" s="94"/>
      <c r="Z39" s="94"/>
      <c r="AA39" s="94"/>
      <c r="AB39" s="94"/>
      <c r="AC39" s="84"/>
      <c r="AD39" s="113"/>
      <c r="AH39" s="63"/>
    </row>
    <row r="40" spans="1:34" ht="12.75" customHeight="1" x14ac:dyDescent="0.3">
      <c r="A40" s="364"/>
      <c r="B40" s="66" t="s">
        <v>123</v>
      </c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90"/>
      <c r="R40" s="90"/>
      <c r="S40" s="90"/>
      <c r="T40" s="90"/>
      <c r="U40" s="85"/>
      <c r="V40" s="85"/>
      <c r="W40" s="85"/>
      <c r="X40" s="85"/>
      <c r="Y40" s="85"/>
      <c r="Z40" s="85"/>
      <c r="AA40" s="85"/>
      <c r="AB40" s="85"/>
      <c r="AC40" s="85"/>
      <c r="AD40" s="116"/>
      <c r="AH40" s="63"/>
    </row>
    <row r="41" spans="1:34" ht="12.75" customHeight="1" x14ac:dyDescent="0.3">
      <c r="A41" s="364"/>
      <c r="B41" s="66" t="s">
        <v>124</v>
      </c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90"/>
      <c r="R41" s="90"/>
      <c r="S41" s="90"/>
      <c r="T41" s="90"/>
      <c r="U41" s="85"/>
      <c r="V41" s="85"/>
      <c r="W41" s="85"/>
      <c r="X41" s="85"/>
      <c r="Y41" s="87"/>
      <c r="Z41" s="88"/>
      <c r="AA41" s="88"/>
      <c r="AB41" s="88"/>
      <c r="AC41" s="74"/>
      <c r="AD41" s="114"/>
      <c r="AH41" s="63"/>
    </row>
    <row r="42" spans="1:34" ht="12.75" customHeight="1" x14ac:dyDescent="0.3">
      <c r="A42" s="364"/>
      <c r="B42" s="66" t="s">
        <v>125</v>
      </c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90"/>
      <c r="R42" s="90"/>
      <c r="S42" s="90"/>
      <c r="T42" s="90"/>
      <c r="U42" s="85"/>
      <c r="V42" s="85"/>
      <c r="W42" s="85"/>
      <c r="X42" s="85"/>
      <c r="Y42" s="88"/>
      <c r="Z42" s="88"/>
      <c r="AA42" s="88"/>
      <c r="AB42" s="88"/>
      <c r="AC42" s="74"/>
      <c r="AD42" s="114"/>
      <c r="AH42" s="63"/>
    </row>
    <row r="43" spans="1:34" ht="12.75" customHeight="1" x14ac:dyDescent="0.3">
      <c r="A43" s="364"/>
      <c r="B43" s="67" t="s">
        <v>126</v>
      </c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85"/>
      <c r="V43" s="85"/>
      <c r="W43" s="85"/>
      <c r="X43" s="85"/>
      <c r="Y43" s="85"/>
      <c r="Z43" s="85"/>
      <c r="AA43" s="85"/>
      <c r="AB43" s="85"/>
      <c r="AC43" s="74"/>
      <c r="AD43" s="114"/>
      <c r="AH43" s="63"/>
    </row>
    <row r="44" spans="1:34" ht="12.75" customHeight="1" x14ac:dyDescent="0.3">
      <c r="A44" s="364"/>
      <c r="B44" s="67" t="s">
        <v>127</v>
      </c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90"/>
      <c r="R44" s="90"/>
      <c r="S44" s="90"/>
      <c r="T44" s="90"/>
      <c r="U44" s="85"/>
      <c r="V44" s="85"/>
      <c r="W44" s="85"/>
      <c r="X44" s="85"/>
      <c r="Y44" s="85"/>
      <c r="Z44" s="85"/>
      <c r="AA44" s="85"/>
      <c r="AB44" s="85"/>
      <c r="AC44" s="74"/>
      <c r="AD44" s="114"/>
      <c r="AH44" s="63"/>
    </row>
    <row r="45" spans="1:34" ht="12.75" customHeight="1" x14ac:dyDescent="0.3">
      <c r="A45" s="364"/>
      <c r="B45" s="67" t="s">
        <v>128</v>
      </c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90"/>
      <c r="V45" s="90"/>
      <c r="W45" s="90"/>
      <c r="X45" s="90"/>
      <c r="Y45" s="90"/>
      <c r="Z45" s="90"/>
      <c r="AA45" s="90"/>
      <c r="AB45" s="90"/>
      <c r="AC45" s="74"/>
      <c r="AD45" s="114"/>
      <c r="AH45" s="63"/>
    </row>
    <row r="46" spans="1:34" ht="12.75" customHeight="1" x14ac:dyDescent="0.3">
      <c r="A46" s="364"/>
      <c r="B46" s="66" t="s">
        <v>129</v>
      </c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85"/>
      <c r="V46" s="85"/>
      <c r="W46" s="85"/>
      <c r="X46" s="85"/>
      <c r="Y46" s="85"/>
      <c r="Z46" s="85"/>
      <c r="AA46" s="85"/>
      <c r="AB46" s="85"/>
      <c r="AC46" s="74"/>
      <c r="AD46" s="114"/>
      <c r="AH46" s="63"/>
    </row>
    <row r="47" spans="1:34" ht="12.75" customHeight="1" thickBot="1" x14ac:dyDescent="0.35">
      <c r="A47" s="365"/>
      <c r="B47" s="68" t="s">
        <v>130</v>
      </c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105"/>
      <c r="Q47" s="105"/>
      <c r="R47" s="105"/>
      <c r="S47" s="105"/>
      <c r="T47" s="105"/>
      <c r="U47" s="99"/>
      <c r="V47" s="99"/>
      <c r="W47" s="99"/>
      <c r="X47" s="99"/>
      <c r="Y47" s="99"/>
      <c r="Z47" s="99"/>
      <c r="AA47" s="99"/>
      <c r="AB47" s="99"/>
      <c r="AC47" s="105"/>
      <c r="AD47" s="115"/>
      <c r="AH47" s="63"/>
    </row>
    <row r="48" spans="1:34" ht="12.75" customHeight="1" thickTop="1" x14ac:dyDescent="0.3">
      <c r="A48" s="363" t="s">
        <v>135</v>
      </c>
      <c r="B48" s="103" t="s">
        <v>122</v>
      </c>
      <c r="C48" s="84"/>
      <c r="D48" s="84"/>
      <c r="E48" s="96"/>
      <c r="F48" s="96"/>
      <c r="G48" s="96"/>
      <c r="H48" s="96"/>
      <c r="I48" s="84"/>
      <c r="J48" s="84"/>
      <c r="K48" s="84"/>
      <c r="L48" s="84"/>
      <c r="M48" s="84"/>
      <c r="N48" s="84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84"/>
      <c r="Z48" s="84"/>
      <c r="AA48" s="84"/>
      <c r="AB48" s="84"/>
      <c r="AC48" s="84"/>
      <c r="AD48" s="113"/>
      <c r="AH48" s="63"/>
    </row>
    <row r="49" spans="1:34" ht="12.75" customHeight="1" x14ac:dyDescent="0.3">
      <c r="A49" s="364"/>
      <c r="B49" s="67" t="s">
        <v>123</v>
      </c>
      <c r="C49" s="74"/>
      <c r="D49" s="74"/>
      <c r="E49" s="90"/>
      <c r="F49" s="90"/>
      <c r="G49" s="90"/>
      <c r="H49" s="90"/>
      <c r="I49" s="90"/>
      <c r="J49" s="90"/>
      <c r="K49" s="90"/>
      <c r="L49" s="90"/>
      <c r="M49" s="90"/>
      <c r="N49" s="74"/>
      <c r="O49" s="86"/>
      <c r="P49" s="86"/>
      <c r="Q49" s="86"/>
      <c r="R49" s="86"/>
      <c r="S49" s="86"/>
      <c r="T49" s="86"/>
      <c r="U49" s="86"/>
      <c r="V49" s="86"/>
      <c r="W49" s="86"/>
      <c r="X49" s="86"/>
      <c r="Y49" s="74"/>
      <c r="Z49" s="74"/>
      <c r="AA49" s="74"/>
      <c r="AB49" s="74"/>
      <c r="AC49" s="74"/>
      <c r="AD49" s="114"/>
      <c r="AH49" s="63"/>
    </row>
    <row r="50" spans="1:34" ht="12.75" customHeight="1" x14ac:dyDescent="0.3">
      <c r="A50" s="364"/>
      <c r="B50" s="66" t="s">
        <v>124</v>
      </c>
      <c r="C50" s="74"/>
      <c r="D50" s="74"/>
      <c r="E50" s="90"/>
      <c r="F50" s="90"/>
      <c r="G50" s="90"/>
      <c r="H50" s="90"/>
      <c r="I50" s="90"/>
      <c r="J50" s="90"/>
      <c r="K50" s="90"/>
      <c r="L50" s="90"/>
      <c r="M50" s="90"/>
      <c r="N50" s="74"/>
      <c r="O50" s="86"/>
      <c r="P50" s="86"/>
      <c r="Q50" s="86"/>
      <c r="R50" s="86"/>
      <c r="S50" s="86"/>
      <c r="T50" s="86"/>
      <c r="U50" s="86"/>
      <c r="V50" s="86"/>
      <c r="W50" s="86"/>
      <c r="X50" s="86"/>
      <c r="Y50" s="86"/>
      <c r="Z50" s="86"/>
      <c r="AA50" s="86"/>
      <c r="AB50" s="86"/>
      <c r="AC50" s="74"/>
      <c r="AD50" s="114"/>
      <c r="AH50" s="63"/>
    </row>
    <row r="51" spans="1:34" ht="12.75" customHeight="1" x14ac:dyDescent="0.3">
      <c r="A51" s="364"/>
      <c r="B51" s="66" t="s">
        <v>125</v>
      </c>
      <c r="C51" s="74"/>
      <c r="D51" s="74"/>
      <c r="E51" s="90"/>
      <c r="F51" s="90"/>
      <c r="G51" s="90"/>
      <c r="H51" s="90"/>
      <c r="I51" s="92"/>
      <c r="J51" s="92"/>
      <c r="K51" s="92"/>
      <c r="L51" s="92"/>
      <c r="M51" s="92"/>
      <c r="N51" s="74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74"/>
      <c r="AD51" s="114"/>
      <c r="AH51" s="63"/>
    </row>
    <row r="52" spans="1:34" ht="12.75" customHeight="1" x14ac:dyDescent="0.3">
      <c r="A52" s="364"/>
      <c r="B52" s="66" t="s">
        <v>126</v>
      </c>
      <c r="C52" s="74"/>
      <c r="D52" s="74"/>
      <c r="E52" s="90"/>
      <c r="F52" s="90"/>
      <c r="G52" s="90"/>
      <c r="H52" s="90"/>
      <c r="I52" s="74"/>
      <c r="J52" s="74"/>
      <c r="K52" s="74"/>
      <c r="L52" s="74"/>
      <c r="M52" s="74"/>
      <c r="N52" s="74"/>
      <c r="O52" s="86"/>
      <c r="P52" s="86"/>
      <c r="Q52" s="86"/>
      <c r="R52" s="86"/>
      <c r="S52" s="86"/>
      <c r="T52" s="86"/>
      <c r="U52" s="86"/>
      <c r="V52" s="86"/>
      <c r="W52" s="86"/>
      <c r="X52" s="86"/>
      <c r="Y52" s="74"/>
      <c r="Z52" s="74"/>
      <c r="AA52" s="74"/>
      <c r="AB52" s="74"/>
      <c r="AC52" s="74"/>
      <c r="AD52" s="114"/>
      <c r="AH52" s="63"/>
    </row>
    <row r="53" spans="1:34" ht="12.75" customHeight="1" x14ac:dyDescent="0.3">
      <c r="A53" s="364"/>
      <c r="B53" s="66" t="s">
        <v>127</v>
      </c>
      <c r="C53" s="74"/>
      <c r="D53" s="74"/>
      <c r="E53" s="90"/>
      <c r="F53" s="90"/>
      <c r="G53" s="90"/>
      <c r="H53" s="90"/>
      <c r="I53" s="74"/>
      <c r="J53" s="74"/>
      <c r="K53" s="74"/>
      <c r="L53" s="74"/>
      <c r="M53" s="74"/>
      <c r="N53" s="74"/>
      <c r="O53" s="86"/>
      <c r="P53" s="86"/>
      <c r="Q53" s="86"/>
      <c r="R53" s="86"/>
      <c r="S53" s="86"/>
      <c r="T53" s="86"/>
      <c r="U53" s="86"/>
      <c r="V53" s="86"/>
      <c r="W53" s="86"/>
      <c r="X53" s="86"/>
      <c r="Y53" s="74"/>
      <c r="Z53" s="74"/>
      <c r="AA53" s="74"/>
      <c r="AB53" s="74"/>
      <c r="AC53" s="74"/>
      <c r="AD53" s="114"/>
      <c r="AH53" s="63"/>
    </row>
    <row r="54" spans="1:34" ht="12.75" customHeight="1" x14ac:dyDescent="0.3">
      <c r="A54" s="364"/>
      <c r="B54" s="66" t="s">
        <v>128</v>
      </c>
      <c r="C54" s="74"/>
      <c r="D54" s="74"/>
      <c r="E54" s="86"/>
      <c r="F54" s="86"/>
      <c r="G54" s="86"/>
      <c r="H54" s="86"/>
      <c r="I54" s="86"/>
      <c r="J54" s="86"/>
      <c r="K54" s="86"/>
      <c r="L54" s="86"/>
      <c r="M54" s="86"/>
      <c r="N54" s="74"/>
      <c r="O54" s="86"/>
      <c r="P54" s="86"/>
      <c r="Q54" s="86"/>
      <c r="R54" s="86"/>
      <c r="S54" s="86"/>
      <c r="T54" s="86"/>
      <c r="U54" s="74"/>
      <c r="V54" s="74"/>
      <c r="W54" s="74"/>
      <c r="X54" s="74"/>
      <c r="Y54" s="74"/>
      <c r="Z54" s="74"/>
      <c r="AA54" s="74"/>
      <c r="AB54" s="74"/>
      <c r="AC54" s="74"/>
      <c r="AD54" s="114"/>
      <c r="AH54" s="63"/>
    </row>
    <row r="55" spans="1:34" ht="12.75" customHeight="1" x14ac:dyDescent="0.3">
      <c r="A55" s="364"/>
      <c r="B55" s="67" t="s">
        <v>129</v>
      </c>
      <c r="C55" s="85"/>
      <c r="D55" s="85"/>
      <c r="E55" s="85"/>
      <c r="F55" s="85"/>
      <c r="G55" s="85"/>
      <c r="H55" s="85"/>
      <c r="I55" s="77"/>
      <c r="J55" s="77"/>
      <c r="K55" s="77"/>
      <c r="L55" s="77"/>
      <c r="M55" s="77"/>
      <c r="N55" s="74"/>
      <c r="O55" s="86"/>
      <c r="P55" s="86"/>
      <c r="Q55" s="86"/>
      <c r="R55" s="86"/>
      <c r="S55" s="86"/>
      <c r="T55" s="86"/>
      <c r="U55" s="86"/>
      <c r="V55" s="86"/>
      <c r="W55" s="86"/>
      <c r="X55" s="86"/>
      <c r="Y55" s="74"/>
      <c r="Z55" s="74"/>
      <c r="AA55" s="74"/>
      <c r="AB55" s="74"/>
      <c r="AC55" s="74"/>
      <c r="AD55" s="114"/>
      <c r="AH55" s="63"/>
    </row>
    <row r="56" spans="1:34" ht="12.75" customHeight="1" thickBot="1" x14ac:dyDescent="0.35">
      <c r="A56" s="365"/>
      <c r="B56" s="71" t="s">
        <v>130</v>
      </c>
      <c r="C56" s="99"/>
      <c r="D56" s="99"/>
      <c r="E56" s="99"/>
      <c r="F56" s="99"/>
      <c r="G56" s="99"/>
      <c r="H56" s="99"/>
      <c r="I56" s="106"/>
      <c r="J56" s="106"/>
      <c r="K56" s="106"/>
      <c r="L56" s="106"/>
      <c r="M56" s="106"/>
      <c r="N56" s="105"/>
      <c r="O56" s="106"/>
      <c r="P56" s="106"/>
      <c r="Q56" s="106"/>
      <c r="R56" s="106"/>
      <c r="S56" s="106"/>
      <c r="T56" s="106"/>
      <c r="U56" s="106"/>
      <c r="V56" s="106"/>
      <c r="W56" s="106"/>
      <c r="X56" s="106"/>
      <c r="Y56" s="105"/>
      <c r="Z56" s="105"/>
      <c r="AA56" s="105"/>
      <c r="AB56" s="105"/>
      <c r="AC56" s="105"/>
      <c r="AD56" s="115"/>
      <c r="AH56" s="63"/>
    </row>
    <row r="57" spans="1:34" ht="12.75" customHeight="1" thickTop="1" x14ac:dyDescent="0.3">
      <c r="A57" s="363" t="s">
        <v>136</v>
      </c>
      <c r="B57" s="72" t="s">
        <v>122</v>
      </c>
      <c r="C57" s="84"/>
      <c r="D57" s="84"/>
      <c r="E57" s="95"/>
      <c r="F57" s="95"/>
      <c r="G57" s="95"/>
      <c r="H57" s="95"/>
      <c r="I57" s="95"/>
      <c r="J57" s="95"/>
      <c r="K57" s="95"/>
      <c r="L57" s="95"/>
      <c r="M57" s="95"/>
      <c r="N57" s="84"/>
      <c r="O57" s="95"/>
      <c r="P57" s="95"/>
      <c r="Q57" s="95"/>
      <c r="R57" s="95"/>
      <c r="S57" s="95"/>
      <c r="T57" s="95"/>
      <c r="U57" s="95"/>
      <c r="V57" s="95"/>
      <c r="W57" s="84"/>
      <c r="X57" s="84"/>
      <c r="Y57" s="84"/>
      <c r="Z57" s="84"/>
      <c r="AA57" s="84"/>
      <c r="AB57" s="84"/>
      <c r="AC57" s="84"/>
      <c r="AD57" s="113"/>
      <c r="AH57" s="63"/>
    </row>
    <row r="58" spans="1:34" ht="12.75" customHeight="1" x14ac:dyDescent="0.3">
      <c r="A58" s="364"/>
      <c r="B58" s="67" t="s">
        <v>123</v>
      </c>
      <c r="C58" s="74"/>
      <c r="D58" s="74"/>
      <c r="E58" s="86"/>
      <c r="F58" s="86"/>
      <c r="G58" s="86"/>
      <c r="H58" s="86"/>
      <c r="I58" s="86"/>
      <c r="J58" s="86"/>
      <c r="K58" s="86"/>
      <c r="L58" s="86"/>
      <c r="M58" s="86"/>
      <c r="N58" s="74"/>
      <c r="O58" s="86"/>
      <c r="P58" s="86"/>
      <c r="Q58" s="86"/>
      <c r="R58" s="86"/>
      <c r="S58" s="86"/>
      <c r="T58" s="86"/>
      <c r="U58" s="86"/>
      <c r="V58" s="86"/>
      <c r="W58" s="74"/>
      <c r="X58" s="74"/>
      <c r="Y58" s="74"/>
      <c r="Z58" s="74"/>
      <c r="AA58" s="74"/>
      <c r="AB58" s="74"/>
      <c r="AC58" s="74"/>
      <c r="AD58" s="114"/>
      <c r="AH58" s="63"/>
    </row>
    <row r="59" spans="1:34" ht="12.75" customHeight="1" x14ac:dyDescent="0.3">
      <c r="A59" s="364"/>
      <c r="B59" s="66" t="s">
        <v>124</v>
      </c>
      <c r="C59" s="74"/>
      <c r="D59" s="74"/>
      <c r="E59" s="86"/>
      <c r="F59" s="86"/>
      <c r="G59" s="86"/>
      <c r="H59" s="86"/>
      <c r="I59" s="86"/>
      <c r="J59" s="86"/>
      <c r="K59" s="86"/>
      <c r="L59" s="86"/>
      <c r="M59" s="86"/>
      <c r="N59" s="74"/>
      <c r="O59" s="86"/>
      <c r="P59" s="86"/>
      <c r="Q59" s="86"/>
      <c r="R59" s="86"/>
      <c r="S59" s="86"/>
      <c r="T59" s="86"/>
      <c r="U59" s="86"/>
      <c r="V59" s="86"/>
      <c r="W59" s="74"/>
      <c r="X59" s="74"/>
      <c r="Y59" s="74"/>
      <c r="Z59" s="74"/>
      <c r="AA59" s="74"/>
      <c r="AB59" s="74"/>
      <c r="AC59" s="74"/>
      <c r="AD59" s="114"/>
      <c r="AH59" s="63"/>
    </row>
    <row r="60" spans="1:34" ht="12.75" customHeight="1" x14ac:dyDescent="0.3">
      <c r="A60" s="364"/>
      <c r="B60" s="66" t="s">
        <v>125</v>
      </c>
      <c r="C60" s="74"/>
      <c r="D60" s="74"/>
      <c r="E60" s="86"/>
      <c r="F60" s="86"/>
      <c r="G60" s="86"/>
      <c r="H60" s="86"/>
      <c r="I60" s="86"/>
      <c r="J60" s="86"/>
      <c r="K60" s="86"/>
      <c r="L60" s="86"/>
      <c r="M60" s="86"/>
      <c r="N60" s="74"/>
      <c r="O60" s="86"/>
      <c r="P60" s="86"/>
      <c r="Q60" s="86"/>
      <c r="R60" s="86"/>
      <c r="S60" s="86"/>
      <c r="T60" s="86"/>
      <c r="U60" s="86"/>
      <c r="V60" s="86"/>
      <c r="W60" s="74"/>
      <c r="X60" s="74"/>
      <c r="Y60" s="74"/>
      <c r="Z60" s="74"/>
      <c r="AA60" s="74"/>
      <c r="AB60" s="74"/>
      <c r="AC60" s="74"/>
      <c r="AD60" s="114"/>
      <c r="AH60" s="63"/>
    </row>
    <row r="61" spans="1:34" ht="12.75" customHeight="1" x14ac:dyDescent="0.3">
      <c r="A61" s="364"/>
      <c r="B61" s="66" t="s">
        <v>126</v>
      </c>
      <c r="C61" s="74"/>
      <c r="D61" s="74"/>
      <c r="E61" s="86"/>
      <c r="F61" s="86"/>
      <c r="G61" s="86"/>
      <c r="H61" s="86"/>
      <c r="I61" s="86"/>
      <c r="J61" s="86"/>
      <c r="K61" s="86"/>
      <c r="L61" s="86"/>
      <c r="M61" s="86"/>
      <c r="N61" s="74"/>
      <c r="O61" s="86"/>
      <c r="P61" s="86"/>
      <c r="Q61" s="86"/>
      <c r="R61" s="86"/>
      <c r="S61" s="86"/>
      <c r="T61" s="86"/>
      <c r="U61" s="86"/>
      <c r="V61" s="86"/>
      <c r="W61" s="74"/>
      <c r="X61" s="74"/>
      <c r="Y61" s="74"/>
      <c r="Z61" s="74"/>
      <c r="AA61" s="74"/>
      <c r="AB61" s="74"/>
      <c r="AC61" s="74"/>
      <c r="AD61" s="114"/>
      <c r="AH61" s="63"/>
    </row>
    <row r="62" spans="1:34" ht="12.75" customHeight="1" x14ac:dyDescent="0.3">
      <c r="A62" s="364"/>
      <c r="B62" s="66" t="s">
        <v>127</v>
      </c>
      <c r="C62" s="74"/>
      <c r="D62" s="74"/>
      <c r="E62" s="86"/>
      <c r="F62" s="86"/>
      <c r="G62" s="86"/>
      <c r="H62" s="86"/>
      <c r="I62" s="86"/>
      <c r="J62" s="86"/>
      <c r="K62" s="86"/>
      <c r="L62" s="86"/>
      <c r="M62" s="86"/>
      <c r="N62" s="74"/>
      <c r="O62" s="86"/>
      <c r="P62" s="86"/>
      <c r="Q62" s="86"/>
      <c r="R62" s="86"/>
      <c r="S62" s="86"/>
      <c r="T62" s="86"/>
      <c r="U62" s="86"/>
      <c r="V62" s="86"/>
      <c r="W62" s="74"/>
      <c r="X62" s="74"/>
      <c r="Y62" s="74"/>
      <c r="Z62" s="74"/>
      <c r="AA62" s="74"/>
      <c r="AB62" s="74"/>
      <c r="AC62" s="74"/>
      <c r="AD62" s="114"/>
      <c r="AH62" s="63"/>
    </row>
    <row r="63" spans="1:34" ht="12.75" customHeight="1" x14ac:dyDescent="0.3">
      <c r="A63" s="364"/>
      <c r="B63" s="66" t="s">
        <v>128</v>
      </c>
      <c r="C63" s="74"/>
      <c r="D63" s="74"/>
      <c r="E63" s="86"/>
      <c r="F63" s="86"/>
      <c r="G63" s="86"/>
      <c r="H63" s="86"/>
      <c r="I63" s="86"/>
      <c r="J63" s="86"/>
      <c r="K63" s="86"/>
      <c r="L63" s="86"/>
      <c r="M63" s="86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4"/>
      <c r="AC63" s="74"/>
      <c r="AD63" s="114"/>
      <c r="AH63" s="63"/>
    </row>
    <row r="64" spans="1:34" ht="12.75" customHeight="1" x14ac:dyDescent="0.3">
      <c r="A64" s="364"/>
      <c r="B64" s="67" t="s">
        <v>129</v>
      </c>
      <c r="C64" s="74"/>
      <c r="D64" s="74"/>
      <c r="E64" s="86"/>
      <c r="F64" s="86"/>
      <c r="G64" s="86"/>
      <c r="H64" s="86"/>
      <c r="I64" s="86"/>
      <c r="J64" s="86"/>
      <c r="K64" s="86"/>
      <c r="L64" s="86"/>
      <c r="M64" s="86"/>
      <c r="N64" s="74"/>
      <c r="O64" s="86"/>
      <c r="P64" s="86"/>
      <c r="Q64" s="86"/>
      <c r="R64" s="86"/>
      <c r="S64" s="85"/>
      <c r="T64" s="85"/>
      <c r="U64" s="85"/>
      <c r="V64" s="85"/>
      <c r="W64" s="77"/>
      <c r="X64" s="77"/>
      <c r="Y64" s="74"/>
      <c r="Z64" s="74"/>
      <c r="AA64" s="74"/>
      <c r="AB64" s="74"/>
      <c r="AC64" s="74"/>
      <c r="AD64" s="114"/>
      <c r="AH64" s="63"/>
    </row>
    <row r="65" spans="1:34" ht="12.75" customHeight="1" thickBot="1" x14ac:dyDescent="0.35">
      <c r="A65" s="365"/>
      <c r="B65" s="68" t="s">
        <v>130</v>
      </c>
      <c r="C65" s="105"/>
      <c r="D65" s="105"/>
      <c r="E65" s="106"/>
      <c r="F65" s="106"/>
      <c r="G65" s="106"/>
      <c r="H65" s="106"/>
      <c r="I65" s="106"/>
      <c r="J65" s="106"/>
      <c r="K65" s="106"/>
      <c r="L65" s="106"/>
      <c r="M65" s="106"/>
      <c r="N65" s="105"/>
      <c r="O65" s="104"/>
      <c r="P65" s="104"/>
      <c r="Q65" s="99"/>
      <c r="R65" s="99"/>
      <c r="S65" s="99"/>
      <c r="T65" s="99"/>
      <c r="U65" s="104"/>
      <c r="V65" s="104"/>
      <c r="W65" s="104"/>
      <c r="X65" s="104"/>
      <c r="Y65" s="105"/>
      <c r="Z65" s="105"/>
      <c r="AA65" s="105"/>
      <c r="AB65" s="105"/>
      <c r="AC65" s="105"/>
      <c r="AD65" s="115"/>
      <c r="AH65" s="63"/>
    </row>
    <row r="66" spans="1:34" ht="13.5" thickTop="1" x14ac:dyDescent="0.3">
      <c r="A66" s="356" t="s">
        <v>137</v>
      </c>
      <c r="B66" s="356"/>
      <c r="C66" s="356"/>
      <c r="D66" s="356"/>
      <c r="E66" s="356"/>
      <c r="F66" s="356"/>
      <c r="G66" s="356"/>
      <c r="H66" s="356"/>
      <c r="I66" s="356"/>
      <c r="J66" s="356"/>
      <c r="K66" s="356"/>
      <c r="L66" s="356"/>
      <c r="M66" s="356"/>
      <c r="N66" s="356"/>
      <c r="O66" s="356"/>
      <c r="P66" s="356"/>
      <c r="Q66" s="356"/>
      <c r="R66" s="356"/>
      <c r="S66" s="356"/>
      <c r="T66" s="356"/>
      <c r="U66" s="356"/>
      <c r="V66" s="356"/>
      <c r="W66" s="356"/>
      <c r="X66" s="356"/>
      <c r="Y66" s="356"/>
      <c r="Z66" s="356"/>
      <c r="AA66" s="356"/>
      <c r="AB66" s="356"/>
      <c r="AC66" s="356"/>
      <c r="AD66" s="356"/>
      <c r="AH66" s="63"/>
    </row>
    <row r="67" spans="1:34" x14ac:dyDescent="0.3">
      <c r="AH67" s="63"/>
    </row>
    <row r="68" spans="1:34" x14ac:dyDescent="0.3">
      <c r="AH68" s="63"/>
    </row>
  </sheetData>
  <mergeCells count="23">
    <mergeCell ref="G2:H2"/>
    <mergeCell ref="I2:J2"/>
    <mergeCell ref="A21:A29"/>
    <mergeCell ref="A12:A20"/>
    <mergeCell ref="A3:A11"/>
    <mergeCell ref="C2:D2"/>
    <mergeCell ref="E2:F2"/>
    <mergeCell ref="A66:AD66"/>
    <mergeCell ref="AA2:AB2"/>
    <mergeCell ref="AC2:AD2"/>
    <mergeCell ref="B1:AC1"/>
    <mergeCell ref="K2:L2"/>
    <mergeCell ref="M2:N2"/>
    <mergeCell ref="O2:P2"/>
    <mergeCell ref="Q2:R2"/>
    <mergeCell ref="S2:T2"/>
    <mergeCell ref="U2:V2"/>
    <mergeCell ref="W2:X2"/>
    <mergeCell ref="Y2:Z2"/>
    <mergeCell ref="A57:A65"/>
    <mergeCell ref="A48:A56"/>
    <mergeCell ref="A39:A47"/>
    <mergeCell ref="A30:A38"/>
  </mergeCells>
  <pageMargins left="0.7" right="0.7" top="0.75" bottom="0.75" header="0.3" footer="0.3"/>
  <pageSetup paperSize="9" scale="67" orientation="portrait" horizontalDpi="4294967293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D7A3C-CD78-427F-B316-8D88B02BD78B}">
  <sheetPr>
    <pageSetUpPr fitToPage="1"/>
  </sheetPr>
  <dimension ref="A3:G5"/>
  <sheetViews>
    <sheetView workbookViewId="0">
      <selection activeCell="C6" sqref="C6"/>
    </sheetView>
  </sheetViews>
  <sheetFormatPr baseColWidth="10" defaultRowHeight="14.5" x14ac:dyDescent="0.35"/>
  <cols>
    <col min="1" max="1" width="28.26953125" customWidth="1"/>
    <col min="2" max="2" width="23.26953125" customWidth="1"/>
    <col min="3" max="3" width="19.26953125" bestFit="1" customWidth="1"/>
    <col min="4" max="4" width="10.26953125" bestFit="1" customWidth="1"/>
    <col min="5" max="5" width="14.54296875" bestFit="1" customWidth="1"/>
    <col min="6" max="6" width="13" bestFit="1" customWidth="1"/>
    <col min="7" max="7" width="5.90625" bestFit="1" customWidth="1"/>
  </cols>
  <sheetData>
    <row r="3" spans="1:7" x14ac:dyDescent="0.35">
      <c r="D3" s="332" t="s">
        <v>215</v>
      </c>
    </row>
    <row r="4" spans="1:7" s="353" customFormat="1" ht="29" x14ac:dyDescent="0.35">
      <c r="A4" s="352" t="s">
        <v>228</v>
      </c>
      <c r="B4" s="352" t="s">
        <v>37</v>
      </c>
      <c r="C4" s="352" t="s">
        <v>38</v>
      </c>
      <c r="D4" s="353" t="s">
        <v>231</v>
      </c>
      <c r="E4" s="353" t="s">
        <v>232</v>
      </c>
      <c r="F4" s="353" t="s">
        <v>233</v>
      </c>
      <c r="G4" s="353" t="s">
        <v>234</v>
      </c>
    </row>
    <row r="5" spans="1:7" x14ac:dyDescent="0.35">
      <c r="A5" t="s">
        <v>212</v>
      </c>
      <c r="D5" s="354"/>
      <c r="E5" s="354"/>
      <c r="F5" s="354"/>
      <c r="G5" s="354"/>
    </row>
  </sheetData>
  <pageMargins left="0.70866141732283472" right="0.70866141732283472" top="0.74803149606299213" bottom="0.74803149606299213" header="0.31496062992125984" footer="0.31496062992125984"/>
  <pageSetup paperSize="9" scale="73" fitToHeight="0" orientation="portrait" horizontalDpi="4294967293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CDE1-10E7-451E-85F8-E995542058D2}">
  <sheetPr codeName="Feuil7"/>
  <dimension ref="A1:K23"/>
  <sheetViews>
    <sheetView workbookViewId="0">
      <selection activeCell="G1" sqref="G1"/>
    </sheetView>
  </sheetViews>
  <sheetFormatPr baseColWidth="10" defaultRowHeight="14.5" x14ac:dyDescent="0.35"/>
  <cols>
    <col min="9" max="9" width="15" customWidth="1"/>
  </cols>
  <sheetData>
    <row r="1" spans="1:11" ht="15.5" x14ac:dyDescent="0.35">
      <c r="A1" s="10" t="s">
        <v>42</v>
      </c>
      <c r="C1" s="8" t="s">
        <v>36</v>
      </c>
      <c r="E1" s="8" t="s">
        <v>0</v>
      </c>
      <c r="G1" s="8" t="s">
        <v>47</v>
      </c>
      <c r="I1" s="8" t="s">
        <v>147</v>
      </c>
      <c r="K1" s="126" t="s">
        <v>36</v>
      </c>
    </row>
    <row r="2" spans="1:11" x14ac:dyDescent="0.35">
      <c r="A2" t="s">
        <v>43</v>
      </c>
      <c r="C2" s="57" t="s">
        <v>148</v>
      </c>
      <c r="G2" t="s">
        <v>96</v>
      </c>
      <c r="I2" t="s">
        <v>151</v>
      </c>
      <c r="K2" t="s">
        <v>148</v>
      </c>
    </row>
    <row r="3" spans="1:11" x14ac:dyDescent="0.35">
      <c r="A3" t="s">
        <v>44</v>
      </c>
      <c r="C3" s="57" t="s">
        <v>39</v>
      </c>
      <c r="G3" t="s">
        <v>103</v>
      </c>
      <c r="I3" t="s">
        <v>152</v>
      </c>
      <c r="K3" t="s">
        <v>39</v>
      </c>
    </row>
    <row r="4" spans="1:11" x14ac:dyDescent="0.35">
      <c r="C4" s="57" t="s">
        <v>149</v>
      </c>
      <c r="G4" t="s">
        <v>98</v>
      </c>
      <c r="K4" t="s">
        <v>149</v>
      </c>
    </row>
    <row r="5" spans="1:11" x14ac:dyDescent="0.35">
      <c r="C5" s="57" t="s">
        <v>41</v>
      </c>
      <c r="G5" t="s">
        <v>99</v>
      </c>
      <c r="K5" t="s">
        <v>41</v>
      </c>
    </row>
    <row r="6" spans="1:11" x14ac:dyDescent="0.35">
      <c r="C6" s="57" t="s">
        <v>150</v>
      </c>
      <c r="G6" t="s">
        <v>105</v>
      </c>
      <c r="K6" t="s">
        <v>150</v>
      </c>
    </row>
    <row r="7" spans="1:11" x14ac:dyDescent="0.35">
      <c r="C7" s="57" t="s">
        <v>225</v>
      </c>
      <c r="G7" t="s">
        <v>100</v>
      </c>
    </row>
    <row r="8" spans="1:11" x14ac:dyDescent="0.35">
      <c r="C8" s="57" t="s">
        <v>180</v>
      </c>
      <c r="G8" t="s">
        <v>104</v>
      </c>
    </row>
    <row r="9" spans="1:11" x14ac:dyDescent="0.35">
      <c r="C9" s="57"/>
      <c r="G9" t="s">
        <v>101</v>
      </c>
    </row>
    <row r="10" spans="1:11" x14ac:dyDescent="0.35">
      <c r="C10" s="57"/>
      <c r="G10" t="s">
        <v>80</v>
      </c>
    </row>
    <row r="11" spans="1:11" x14ac:dyDescent="0.35">
      <c r="C11" s="57"/>
      <c r="G11" t="s">
        <v>107</v>
      </c>
    </row>
    <row r="12" spans="1:11" x14ac:dyDescent="0.35">
      <c r="C12" s="57"/>
      <c r="G12" t="s">
        <v>95</v>
      </c>
    </row>
    <row r="13" spans="1:11" x14ac:dyDescent="0.35">
      <c r="C13" s="57"/>
      <c r="G13" t="s">
        <v>102</v>
      </c>
    </row>
    <row r="14" spans="1:11" x14ac:dyDescent="0.35">
      <c r="C14" s="57"/>
      <c r="G14" t="s">
        <v>141</v>
      </c>
    </row>
    <row r="15" spans="1:11" x14ac:dyDescent="0.35">
      <c r="C15" s="57"/>
      <c r="G15" t="s">
        <v>97</v>
      </c>
    </row>
    <row r="16" spans="1:11" x14ac:dyDescent="0.35">
      <c r="C16" s="57"/>
      <c r="G16" t="s">
        <v>81</v>
      </c>
    </row>
    <row r="17" spans="3:7" x14ac:dyDescent="0.35">
      <c r="C17" s="57"/>
      <c r="G17" t="s">
        <v>108</v>
      </c>
    </row>
    <row r="18" spans="3:7" x14ac:dyDescent="0.35">
      <c r="C18" s="57"/>
      <c r="G18" t="s">
        <v>180</v>
      </c>
    </row>
    <row r="19" spans="3:7" x14ac:dyDescent="0.35">
      <c r="C19" s="57"/>
    </row>
    <row r="20" spans="3:7" x14ac:dyDescent="0.35">
      <c r="C20" s="57"/>
    </row>
    <row r="21" spans="3:7" x14ac:dyDescent="0.35">
      <c r="C21" s="57"/>
    </row>
    <row r="22" spans="3:7" x14ac:dyDescent="0.35">
      <c r="C22" s="57"/>
    </row>
    <row r="23" spans="3:7" x14ac:dyDescent="0.35">
      <c r="C23" s="57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54</vt:i4>
      </vt:variant>
    </vt:vector>
  </HeadingPairs>
  <TitlesOfParts>
    <vt:vector size="70" baseType="lpstr">
      <vt:lpstr>Menu principal</vt:lpstr>
      <vt:lpstr>Insérer_nouvel_adhérent</vt:lpstr>
      <vt:lpstr>Recherche Adhérent</vt:lpstr>
      <vt:lpstr>Situation paiement</vt:lpstr>
      <vt:lpstr>Modifier_adhérent</vt:lpstr>
      <vt:lpstr>Saisir un bon de recette</vt:lpstr>
      <vt:lpstr>Rentabilité _groupe</vt:lpstr>
      <vt:lpstr>Liste gobale</vt:lpstr>
      <vt:lpstr>Liste carnet encaiss</vt:lpstr>
      <vt:lpstr>Liste validation (2)</vt:lpstr>
      <vt:lpstr>A contacter</vt:lpstr>
      <vt:lpstr>Groupes</vt:lpstr>
      <vt:lpstr>Entraineurs</vt:lpstr>
      <vt:lpstr>Feuil3</vt:lpstr>
      <vt:lpstr>Situation paiement Ecole d'été</vt:lpstr>
      <vt:lpstr>Liste validation</vt:lpstr>
      <vt:lpstr>Modifier_adhérent!Condition</vt:lpstr>
      <vt:lpstr>'Saisir un bon de recette'!Condition</vt:lpstr>
      <vt:lpstr>Condition</vt:lpstr>
      <vt:lpstr>Modifier_adhérent!Cotisation</vt:lpstr>
      <vt:lpstr>'Saisir un bon de recette'!Cotisation</vt:lpstr>
      <vt:lpstr>Cotisation</vt:lpstr>
      <vt:lpstr>'Recherche Adhérent'!Criteres</vt:lpstr>
      <vt:lpstr>'Situation paiement'!Criteres</vt:lpstr>
      <vt:lpstr>Modifier_adhérent!Entraineur</vt:lpstr>
      <vt:lpstr>'Saisir un bon de recette'!Entraineur</vt:lpstr>
      <vt:lpstr>Entraineur</vt:lpstr>
      <vt:lpstr>'Recherche Adhérent'!Extraire</vt:lpstr>
      <vt:lpstr>'Situation paiement'!Extraire</vt:lpstr>
      <vt:lpstr>Modifier_adhérent!Groupe</vt:lpstr>
      <vt:lpstr>'Saisir un bon de recette'!Groupe</vt:lpstr>
      <vt:lpstr>Groupe</vt:lpstr>
      <vt:lpstr>'Situation paiement Ecole d''été'!Impression_des_titres</vt:lpstr>
      <vt:lpstr>Matricule</vt:lpstr>
      <vt:lpstr>Modifier_adhérent!Naissance</vt:lpstr>
      <vt:lpstr>'Saisir un bon de recette'!Naissance</vt:lpstr>
      <vt:lpstr>Naissance</vt:lpstr>
      <vt:lpstr>Modifier_adhérent!Nom</vt:lpstr>
      <vt:lpstr>'Saisir un bon de recette'!Nom</vt:lpstr>
      <vt:lpstr>Nom</vt:lpstr>
      <vt:lpstr>Modifier_adhérent!Prénom</vt:lpstr>
      <vt:lpstr>'Saisir un bon de recette'!Prénom</vt:lpstr>
      <vt:lpstr>Prénom</vt:lpstr>
      <vt:lpstr>Modifier_adhérent!Sex</vt:lpstr>
      <vt:lpstr>'Saisir un bon de recette'!Sex</vt:lpstr>
      <vt:lpstr>Sex</vt:lpstr>
      <vt:lpstr>Modifier_adhérent!Sexe</vt:lpstr>
      <vt:lpstr>'Recherche Adhérent'!Sexe</vt:lpstr>
      <vt:lpstr>'Saisir un bon de recette'!Sexe</vt:lpstr>
      <vt:lpstr>'Situation paiement'!Sexe</vt:lpstr>
      <vt:lpstr>Sexe</vt:lpstr>
      <vt:lpstr>'Saisir un bon de recette'!Sexe2</vt:lpstr>
      <vt:lpstr>Sexe2</vt:lpstr>
      <vt:lpstr>Modifier_adhérent!Tel_1</vt:lpstr>
      <vt:lpstr>Tel_1</vt:lpstr>
      <vt:lpstr>Modifier_adhérent!Tipo</vt:lpstr>
      <vt:lpstr>Tipo</vt:lpstr>
      <vt:lpstr>Modifier_adhérent!Type</vt:lpstr>
      <vt:lpstr>'Recherche Adhérent'!Type</vt:lpstr>
      <vt:lpstr>'Saisir un bon de recette'!Type</vt:lpstr>
      <vt:lpstr>'Situation paiement'!Type</vt:lpstr>
      <vt:lpstr>Type</vt:lpstr>
      <vt:lpstr>Feuil3!Zone_d_impression</vt:lpstr>
      <vt:lpstr>Insérer_nouvel_adhérent!Zone_d_impression</vt:lpstr>
      <vt:lpstr>'Menu principal'!Zone_d_impression</vt:lpstr>
      <vt:lpstr>Modifier_adhérent!Zone_d_impression</vt:lpstr>
      <vt:lpstr>'Recherche Adhérent'!Zone_d_impression</vt:lpstr>
      <vt:lpstr>'Saisir un bon de recette'!Zone_d_impression</vt:lpstr>
      <vt:lpstr>'Situation paiement'!Zone_d_impression</vt:lpstr>
      <vt:lpstr>'Situation paiement Ecole d''été'!Zone_d_impression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TCHS</dc:creator>
  <cp:lastModifiedBy>Abdelmaksoud Thameur</cp:lastModifiedBy>
  <cp:lastPrinted>2023-08-22T15:11:05Z</cp:lastPrinted>
  <dcterms:created xsi:type="dcterms:W3CDTF">2015-06-05T18:19:34Z</dcterms:created>
  <dcterms:modified xsi:type="dcterms:W3CDTF">2024-11-18T16:57:05Z</dcterms:modified>
</cp:coreProperties>
</file>